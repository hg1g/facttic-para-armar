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ersons/person.xml" ContentType="application/vnd.ms-excel.person+xml"/>
  <Override PartName="/xl/threadedComments/threadedComment1.xml" ContentType="application/vnd.ms-excel.threadedcomment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Sheet1" sheetId="1" state="visible" r:id="rId2"/>
  </sheets>
  <calcPr/>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tc={0FEBD413-8ABF-FEE6-19D3-6FEFB72D66AE}</author>
    <author>tc={35A57402-4E42-C86D-0554-513D0A725C3D}</author>
    <author>tc={75DCDB11-90F7-0551-9634-188183C63C5D}</author>
    <author>tc={37B3B260-2256-A1C5-F913-7C4ACAFF4E8B}</author>
    <author>tc={75DF6F38-FD04-2EEA-951A-E592DC84D377}</author>
    <author>tc={8D93F9E0-2C99-C26C-BBA2-377631CBCAE0}</author>
    <author>tc={009A4DED-AE75-4868-E3A5-176BAB27DCC8}</author>
  </authors>
  <commentList>
    <comment ref="D16" authorId="0" xr:uid="{0FEBD413-8ABF-FEE6-19D3-6FEFB72D66AE}">
      <text>
        <r>
          <rPr>
            <b/>
            <sz val="9"/>
            <rFont val="Tahoma"/>
          </rPr>
          <t>laura-animus:</t>
        </r>
        <r>
          <rPr>
            <sz val="9"/>
            <rFont val="Tahoma"/>
          </rPr>
          <t xml:space="preserve">
Además de recursos, no se sienten representados por la federación, y que tampoco tienen para aportar. No hacen software.
</t>
        </r>
      </text>
    </comment>
    <comment ref="D19" authorId="1" xr:uid="{35A57402-4E42-C86D-0554-513D0A725C3D}">
      <text>
        <r>
          <rPr>
            <b/>
            <sz val="9"/>
            <rFont val="Tahoma"/>
          </rPr>
          <t>laura-animus:</t>
        </r>
        <r>
          <rPr>
            <sz val="9"/>
            <rFont val="Tahoma"/>
          </rPr>
          <t xml:space="preserve">
también interés
</t>
        </r>
      </text>
    </comment>
    <comment ref="D21" authorId="2" xr:uid="{75DCDB11-90F7-0551-9634-188183C63C5D}">
      <text>
        <r>
          <rPr>
            <b/>
            <sz val="9"/>
            <rFont val="Tahoma"/>
          </rPr>
          <t>laura-animus:</t>
        </r>
        <r>
          <rPr>
            <sz val="9"/>
            <rFont val="Tahoma"/>
          </rPr>
          <t xml:space="preserve">
conocer cómo funciona la federación
</t>
        </r>
      </text>
    </comment>
    <comment ref="D23" authorId="3" xr:uid="{37B3B260-2256-A1C5-F913-7C4ACAFF4E8B}">
      <text>
        <r>
          <rPr>
            <b/>
            <sz val="9"/>
            <rFont val="Tahoma"/>
          </rPr>
          <t>laura-animus:</t>
        </r>
        <r>
          <rPr>
            <sz val="9"/>
            <rFont val="Tahoma"/>
          </rPr>
          <t xml:space="preserve">
No hacen desarrollo, se sienten lejos de la temática
</t>
        </r>
      </text>
    </comment>
    <comment ref="D26" authorId="4" xr:uid="{75DF6F38-FD04-2EEA-951A-E592DC84D377}">
      <text>
        <r>
          <rPr>
            <b/>
            <sz val="9"/>
            <rFont val="Tahoma"/>
          </rPr>
          <t>laura-animus:</t>
        </r>
        <r>
          <rPr>
            <sz val="9"/>
            <rFont val="Tahoma"/>
          </rPr>
          <t xml:space="preserve">
tratar temas que les interese: responsabilidad soc y sustentabiliad
</t>
        </r>
      </text>
    </comment>
    <comment ref="D5" authorId="5" xr:uid="{8D93F9E0-2C99-C26C-BBA2-377631CBCAE0}">
      <text>
        <r>
          <rPr>
            <b/>
            <sz val="9"/>
            <rFont val="Tahoma"/>
          </rPr>
          <t>laura-animus:</t>
        </r>
        <r>
          <rPr>
            <sz val="9"/>
            <rFont val="Tahoma"/>
          </rPr>
          <t xml:space="preserve">
Agregar lo de la falta de posicionamiento
Y las herramientas de nicho
</t>
        </r>
      </text>
    </comment>
    <comment ref="D6" authorId="6" xr:uid="{009A4DED-AE75-4868-E3A5-176BAB27DCC8}">
      <text>
        <r>
          <rPr>
            <b/>
            <sz val="9"/>
            <rFont val="Tahoma"/>
          </rPr>
          <t>laura-animus:</t>
        </r>
        <r>
          <rPr>
            <sz val="9"/>
            <rFont val="Tahoma"/>
          </rPr>
          <t xml:space="preserve">
dificultad para transmitir al resto de la coope el valor de FACTTIC
</t>
        </r>
      </text>
    </comment>
  </commentList>
</comments>
</file>

<file path=xl/sharedStrings.xml><?xml version="1.0" encoding="utf-8"?>
<sst xmlns="http://schemas.openxmlformats.org/spreadsheetml/2006/main" count="193" uniqueCount="193">
  <si>
    <t xml:space="preserve">Identidad y pertenencia: ¿qué aspecto o valor sienten que más representa a su cooperativa?</t>
  </si>
  <si>
    <t xml:space="preserve">Impacto general: ¿qué aporta FACTTIC concretamente al desarrollo de su cooperativa hoy?</t>
  </si>
  <si>
    <t xml:space="preserve">Participación en FACTTIC: ¿Cuáles son las motivaciones de participar en FACTTIC?</t>
  </si>
  <si>
    <t xml:space="preserve">Participación en FACTTIC: ¿Cuáles son los obstáculos para participar en la Federación?</t>
  </si>
  <si>
    <t xml:space="preserve">Dificultad en el funcionamiento general: ¿Qué obstáculos, debilidades o problemas puntuales ven en la manera en que la Federación se está desarrollando actualmente?</t>
  </si>
  <si>
    <t>PLENARIO</t>
  </si>
  <si>
    <t xml:space="preserve">ASAMBLEA MENSUAL</t>
  </si>
  <si>
    <t>CONSEJO</t>
  </si>
  <si>
    <t>ENDECONSTRUCCION</t>
  </si>
  <si>
    <t>COMUNICACION</t>
  </si>
  <si>
    <t>GCU</t>
  </si>
  <si>
    <t xml:space="preserve">PLATAF. COOP</t>
  </si>
  <si>
    <t>INFRATTIC</t>
  </si>
  <si>
    <t>IA4COOPS</t>
  </si>
  <si>
    <t>CAPACITACIONES</t>
  </si>
  <si>
    <t>Otro</t>
  </si>
  <si>
    <t xml:space="preserve">Prioridad de mejora: Si FACTTIC pudiera enfocarse en unos pocos cambios prioritarios en lo que queda de este año, ¿Cuales propondrían?</t>
  </si>
  <si>
    <t xml:space="preserve">La intercooperación en el trabajo, en el aprendizaje y para construir proyectos de impacto.</t>
  </si>
  <si>
    <t xml:space="preserve">Un espacio de contención y gestión compartida del trabajo. </t>
  </si>
  <si>
    <t xml:space="preserve">sumarse a algo más grande que nuestra coope que pueda construir algo superador </t>
  </si>
  <si>
    <t xml:space="preserve">La rosca que genera que no se comparta cierta información o se clarifiquien los roles (individualismo). Por suerte es una parte pequeña todavía pero nos preocupa mucho la tendencia.</t>
  </si>
  <si>
    <t xml:space="preserve">Falta de reglas claras para la distrubución de las responsabilidades y sobre todo de las representaciones que hace que el gran trabajo de la federación no logre objetivos grandes. </t>
  </si>
  <si>
    <t xml:space="preserve">mejorar los mecanismos de representación de la Federación </t>
  </si>
  <si>
    <t xml:space="preserve">Proyectos intercooperativos y contactos </t>
  </si>
  <si>
    <t xml:space="preserve">Contribuir a una construcción colectiva del cooperativismo tecnológico</t>
  </si>
  <si>
    <t xml:space="preserve">Muchas veces el tiempo y los recursos.</t>
  </si>
  <si>
    <t xml:space="preserve">Algunos planes muy ambiciosos, poca recaudación, desorden.</t>
  </si>
  <si>
    <t xml:space="preserve">Área comercial, urgente. Formaciones y recursos.</t>
  </si>
  <si>
    <t xml:space="preserve">Intercooperación, trabajo en equipo. </t>
  </si>
  <si>
    <t xml:space="preserve">Gracias a nuestra participación en FACTTIC logramos crecimiento y estabilidad económica. Y también apoyo y contención frente a contextos adversos. . </t>
  </si>
  <si>
    <t xml:space="preserve">Seguir aportando al crecimiento del cooperativismo en nuestro país. </t>
  </si>
  <si>
    <t xml:space="preserve">Somos una cooperativa chica que muy fácilmente los perfiles quedamos sin disponibilidad y por eso el mayor osbtáculo de participación es que tenemos que aportar nuestras horas a proyectos y no nos queda mucho margen. </t>
  </si>
  <si>
    <t xml:space="preserve">Desarticulación de los espacios y falta de comunicación entre las personas que representan a a Federación. </t>
  </si>
  <si>
    <t xml:space="preserve">La reunión de consejo ampliado podría ser parte de la asamblea como sucedía antes y eso ayudaba a que haya mayor participación y debate. Valorar espacios en los que no participamos nos fue difícil y raro.</t>
  </si>
  <si>
    <t xml:space="preserve">Buscar formas de actualizar las herramientas comerciales externas que tiene la federación como la página web que es la cara de presentación digital. Encontrar una forma de alinearse entre los espacios y las personas que forman parte de la Federación. Retomar los debates del último plenario sobre la estructura de la Federación. </t>
  </si>
  <si>
    <t xml:space="preserve">El sostenimiento de un modelo contrahegemónico de trabajo y de organización</t>
  </si>
  <si>
    <t xml:space="preserve">Creatividad en la resolución de experiencias compartidas</t>
  </si>
  <si>
    <t xml:space="preserve">Compartir visiones y experiencias con gente muy piola</t>
  </si>
  <si>
    <t xml:space="preserve">Creo que hoy son varios. Por un lado la falta de expresion política ante la avanzada fascista, es muy desmotivante. Por otro lado, las herramientas utilizadas son absolutamente de nicho, y la Federación inició un camino de apertura que no fue acompaño por la habilitación de medios más masivos. Por otro lado hay una dificultad en la democratización de los procesos y las oportunidades de representación.</t>
  </si>
  <si>
    <t xml:space="preserve">Cómo decía antes, el tema del uso de las aplicaciones de nicho (Telegram, mattermost etc). Por otro lado creo que hay una debilidad manifiesta en cuando a los posicionamientos políticos de nuestro sector.</t>
  </si>
  <si>
    <t xml:space="preserve">Empezar a debatir política para consensuar un discurso de la federación, no individual y mejorar el funcionamiento del consejo de administración</t>
  </si>
  <si>
    <t>Intercooperación</t>
  </si>
  <si>
    <t xml:space="preserve">Un espacio de encuentro con otras cooperativas</t>
  </si>
  <si>
    <t xml:space="preserve">Aportar a un espacio colectivo que tenga horizontes comunes de representación al sector y el trabajo en escala con otras cooperativasa</t>
  </si>
  <si>
    <t xml:space="preserve">Fragmentación de la federación en la actualidad. Dificultad para transmitir en la cooperativa el valor de pertenecer a Facctic</t>
  </si>
  <si>
    <t xml:space="preserve">Fragmentación de la federación, falta un proyecto común y se usa la federación para intereses puntuales de algunas cooperativas.</t>
  </si>
  <si>
    <t xml:space="preserve">Volver a enfocar a Facttic en un proyecto común y fortalecernos internamente.</t>
  </si>
  <si>
    <t xml:space="preserve">Moviemiento Cooperativo</t>
  </si>
  <si>
    <t xml:space="preserve">No vemos impacto en el desarrollo de la coop actualmente. </t>
  </si>
  <si>
    <t xml:space="preserve">Construccion Colectiva</t>
  </si>
  <si>
    <t xml:space="preserve">interes, representacion</t>
  </si>
  <si>
    <t xml:space="preserve">Es dificil ver los planes a largo plazo y que estos esten consensuados.. La federacion es mas reactiva a lo que va sucediendo o a los deseos de algun grupo. </t>
  </si>
  <si>
    <t>-</t>
  </si>
  <si>
    <t xml:space="preserve">Impulsar acciones comerciales conjuntas. Buscar mayor participacion economica en la federacion(cuotas, 5%, etc). Trabajar en la proyeccion / presupuesto del año que viene (ingresos/egresos)</t>
  </si>
  <si>
    <t xml:space="preserve">Trabajo solidario y colaborativo </t>
  </si>
  <si>
    <t xml:space="preserve">Visión, conocimiento empírico, comunidad. </t>
  </si>
  <si>
    <t xml:space="preserve">Intercooperar y tener más fuerza para llevar a cabo ideas y formas de construir. </t>
  </si>
  <si>
    <t xml:space="preserve">Desde la salida antes de término de la presidencia de Fiqus hacia aquí se han dado muchas situaciones de representatividad, de no claridad, de división, de construcción de poder individual o de grupos que en mayor o menor medida han desalentado la participación. Por otro lado todas las coopes tenemos momentos de mayor energía, disponibilidad, etc y otros que no. Podrían algunas cosas describirse como problemas de comunicación, aunque creo que va aún más allá de eso. Creo que la comunicación no es ajena a todo esto. </t>
  </si>
  <si>
    <t xml:space="preserve">No hay unidad. Somos 5 y no tiramos para el mismo lado. Hay formas de construir poder cuestionables. Algunas basadas en el cargo y otras en la capacidad de generar trabajo o ingresos para otras coopes.</t>
  </si>
  <si>
    <t xml:space="preserve">Creo que este año ya está. Ojalá en el plenario se obtengan insumos para trabajar el próximo. Una pregunta que podríamos hacernos es, de qué forma invitamos a otras cooperativas que tengan la capacidad de prestar servicios a la federacion puedan presentar sus propuestas y habilitar una rotación saludable y en pos de la mejora de todos. Quizas las mismas que actualmente lo hacen sean quienes tengan las mejores propuestas y eso reafirmaria que estamos en el mejor escenario, pero seria bueno tener algun esquema de apertura ciclico para eso. O quizas ya hay ? </t>
  </si>
  <si>
    <t>intercooperación</t>
  </si>
  <si>
    <t xml:space="preserve">Una mirada más general de las cooperativas tics y oportunidades de trabajo.</t>
  </si>
  <si>
    <t xml:space="preserve">Tener escala para sobrellevar las crisis y aportar a la transformación de la sociedad.</t>
  </si>
  <si>
    <t xml:space="preserve">No hay obstáculos, cuando quisimos participar pudimos hacerlo.</t>
  </si>
  <si>
    <t xml:space="preserve">Lo que hay es muy valioso. Para dar un paso más, hace falta algún objetivo comun que se materialice en acciones, partir de un punto común y evitar dispersión.</t>
  </si>
  <si>
    <t xml:space="preserve">Solidaridad y proyectos intercoop</t>
  </si>
  <si>
    <t xml:space="preserve">Impulso económico gracias a proyectos intercoop</t>
  </si>
  <si>
    <t xml:space="preserve">Capacitaciones, lazos humanos y comerciales </t>
  </si>
  <si>
    <t xml:space="preserve">Recursos limitados por ser pocas personas en nuestra coope</t>
  </si>
  <si>
    <t xml:space="preserve">La potencia de la red, la intercooperación y la horizontalidad entre las coopes asociadas </t>
  </si>
  <si>
    <t xml:space="preserve">Aporta trabajo, conocimiento y sostén en un momento que es muy individualista</t>
  </si>
  <si>
    <t xml:space="preserve">Seguir alimentando una construcción colectiva, y el crecimiento grupal y profesional de nuestres asociades</t>
  </si>
  <si>
    <t xml:space="preserve">Consideramos que en los últimos años se a afianzado un tipo de construcción más personalista, inorgánica en la que no prima la colectivización de la información</t>
  </si>
  <si>
    <t xml:space="preserve">Creemos que es un contexto difícil en el que se busca resolver lo productivo para que las cooperativas funcionen y que deja poco margen para otro tipo de actividades, creemos también que terminan permeando algunas ideas de un contexto horrible. Por otro lado, tal vez falten cuadros que organicen y lideren las tareas en los diferente espacios y que las impulsen, como una falta de dirección. También está siendo difícil llegar a consensos y avanzar con acciones concretas. Estamos todes un poco estallados</t>
  </si>
  <si>
    <t xml:space="preserve">Reorganizar para arrancar más armados el año que viene</t>
  </si>
  <si>
    <t xml:space="preserve">Valores fundamentales de FACTTIC: Cooperativismo: Promoción del modelo cooperativo como forma de organización del trabajo en tecnología Autogestión: Las cooperativas se administran democráticamente por sus propios trabajadores Trabajo digno: Defensa de condiciones laborales justas y dignas en el sector tecnológico Economía social y solidaria: Construcción de una economía basada en la solidaridad y no solo en el lucro Conocimiento libre: Apoyo al software libre y al acceso abierto al conocimiento Federalismo: Articulación y fortalecimiento de cooperativas en todo el territorio argentino Inclusión y diversidad: Promoción de la participación de diversos sectores en la tecnología Soberanía tecnológica: Desarrollo de capacidades tecnológicas locales y autónomas Solidaridad: Apoyo mutuo entre las cooperativas federadas</t>
  </si>
  <si>
    <t xml:space="preserve">Representación y voz colectiva - FACTTIC representa los intereses de las cooperativas de tecnología ante el Estado, organismos públicos y otras instituciones, dándole a la cooperativa mayor peso político y visibilidad. Articulación y networking - Conexión con otras cooperativas tecnológicas del país, facilitando colaboraciones, intercambio de experiencias y potenciales proyectos conjuntos. Fortalecimiento institucional - Asesoramiento legal, contable y organizacional para fortalecer la gestión cooperativa. Acceso a recursos y oportunidades - Posibilidad de participar en licitaciones o proyectos que requieren mayor escala o capacidad federada. Incidencia en políticas públicas - Participación en la construcción de marcos regulatorios y políticas favorables para las cooperativas de tecnología. Identidad y legitimidad - Formar parte de un movimiento más amplio que da mayor legitimidad y reconocimiento al modelo cooperativo en tecnología. Solidaridad económica - Apoyo mutuo entre cooperativas en momentos difíciles o para emprendimientos conjuntos.</t>
  </si>
  <si>
    <t xml:space="preserve">Motivaciones ideológicas: Coherencia con valores cooperativos - La participación federativa es una extensión natural del principio de cooperación entre cooperativas (uno de los 7 principios universales del cooperativismo). Construcción de movimiento - Contribuir a fortalecer un movimiento más amplio de economía social y solidaria en el sector tecnológico, no solo pensar en la propia cooperativa. Transformación social - Impulsar cambios estructurales en el modelo de trabajo tecnológico que una sola cooperativa no puede lograr. Motivaciones estratégicas: Fortaleza colectiva - "La unión hace la fuerza": mayor capacidad de negociación, incidencia política y visibilidad actuando federadamente. Sostenibilidad del modelo - Asegurar que el ecosistema cooperativo tecnológico sea viable y se expanda, lo cual beneficia a gcoop a largo plazo. Complementariedad - Acceso a capacidades, conocimientos y recursos de otras cooperativas para proyectos de mayor envergadura. Motivaciones prácticas: Oportunidades de negocio - Participación en licitaciones o proyectos que requieren escala federada. Aprendizaje compartido - Intercambio de experiencias, buenas prácticas y soluciones a desafíos comunes. Defensa de intereses - Protección frente a regulaciones desfavorables</t>
  </si>
  <si>
    <t xml:space="preserve">La falta de organica de lxs participantes</t>
  </si>
  <si>
    <t xml:space="preserve">no hay objetivos, ni conducción, ni organizacion, ni confianza</t>
  </si>
  <si>
    <t xml:space="preserve">Dejar de trabajar para el kiosco y ponernos las pilas para que, ENTRE TODES, armemos un supermercado</t>
  </si>
  <si>
    <t xml:space="preserve">Políticas de género. lógica asamblearia. dinámicas de.formacion e intercambio </t>
  </si>
  <si>
    <t xml:space="preserve">por ahora es un espaciode debate, de formación y de contención </t>
  </si>
  <si>
    <t xml:space="preserve">trabajo en red coordinación y construccion politica sindical. mejores relaciones y condiciones laborales. Aportar a una construcción colectiva mas federal.</t>
  </si>
  <si>
    <t xml:space="preserve">No terminamos de.entemder la dinámica interna y creo que juato entramos en un momento de bastante cambio en la.organica.</t>
  </si>
  <si>
    <t xml:space="preserve">participe de muy pocas instancias como para tener un diagnóstico claro pero pienso que parece que hay muchos frentes abriertos y no se percibe a simple vista un eje conductor prioritario. Pero creo que ya se esta en esa busqueda </t>
  </si>
  <si>
    <t xml:space="preserve">nos gustarian espacios de debate político de coyuntura y hasta un poco de catarsis sin que sea vinculante necesariamente a ninguna decisión de la federacion. pero si podamos intercambiar miradas y conocwr mejor los lineamientos politicos y los porque de cada coope </t>
  </si>
  <si>
    <t xml:space="preserve">Comunidad. (No entendí muy bien esta pregunta)</t>
  </si>
  <si>
    <t xml:space="preserve">Aporta comunidad y capacidad de producción</t>
  </si>
  <si>
    <t xml:space="preserve">Nos gusta la pluralidad de voces, sentir que no estamos solxs y aprender de las experiencias de les demás.</t>
  </si>
  <si>
    <t xml:space="preserve">El interés no es de todes les socies y la participación cuando es una sola persona se complica por tiempos y a veces por falta de recursos. </t>
  </si>
  <si>
    <t xml:space="preserve">A veces se siente que las cosas no avanzan, aunque si lo hagan.</t>
  </si>
  <si>
    <t xml:space="preserve">No sé si es tanto de FACTTIC sino de nosotres como coopes. Siento que la participación incluso en los espacios que participamos siempre es poco proactiva y las tareas siempre las agarran les mismes o cuando se quiere avanzar algo la coordinación se vuelve compleja.</t>
  </si>
  <si>
    <t xml:space="preserve">COOPERACION, COLABORACION</t>
  </si>
  <si>
    <t xml:space="preserve">Trabajo cooperativo, colaborativo, </t>
  </si>
  <si>
    <t xml:space="preserve">El trabajo en equipo, colaboración y cooperación entre las cooperativas para un bien común </t>
  </si>
  <si>
    <t xml:space="preserve">Recursos humanos de INDEPI para participar de los distintos espacios </t>
  </si>
  <si>
    <t xml:space="preserve">Continuar trabajando en dar a conocer el trabajo (productos y servicios) de las cooperativas en diferentes ámbitos</t>
  </si>
  <si>
    <t xml:space="preserve">La contrucción de un espcio democrático para las cooperativas del sector que se demuestra en una alta participación de las bases en los espacios de intercooperación.</t>
  </si>
  <si>
    <t xml:space="preserve">Un espacio de intercambio con otras cooperativas que permite intercambiar experiencias. Actualmente no estamos llevando adelante ningún proyecto concreto pero encontramos una potencialidad para el desarrollo de nuestra coope</t>
  </si>
  <si>
    <t xml:space="preserve">Intercooperación, espciao de escucha y contrucción colectiva</t>
  </si>
  <si>
    <t xml:space="preserve">Hoy las dificultades para participar son principalemente internas: falta de tiempo para contruir espacios gremiales frente al apremio de destinar horas a trabajos remunerados. Por otro lado, nuestra cooperativa es de servicios profesionales y algunxs asociadxs no están directamente vinculados a la tecnología y no terminan de sentirse representadxs por la federación por este motivo. Al momento de participar en los espacios de la federación, sienten que, al no trabajar en desarrollo de software, no tienen mucho que aportar</t>
  </si>
  <si>
    <t xml:space="preserve">Una dificultad es lo que mencionamos arriba, que el desarrollo de software es la actividad prioritaria de la mayor parte de las coopes de facttic y quienes trabajamos en otras áreas por momemntos no encontramos representación en algunas discusiones. Por otro lado, nos preocupa que la federación pueda llevar adelante acciones más concretas para proteger y garantizar la continuidad de las cooperativas que se encuentran en crisis frente a los embates del gobierno nacional tanto a nivel económico como político. Un posicionamiento público más claro frente a estos embates nos resulta importante dado que las cooperativas nos hemos convertido en un eje de ataque central en la política del partido gobernante. Nos gustaría además que se fortalezca la representación de personas que no sean varones cis en los espacios de toma de decisión y que la federación tome acciones para incluir a mujeres e identidades lgbtiq+ en nuestras cooperativas y en espacios clave. </t>
  </si>
  <si>
    <t xml:space="preserve">Cooperativismo, fraternidad, solidaridad.</t>
  </si>
  <si>
    <t xml:space="preserve">Sosten moral.</t>
  </si>
  <si>
    <t xml:space="preserve">Por un lado, el cooperativismo como ideología de trabajo comunal. Por el otro, búsqueda de oportunidades de trabajo.</t>
  </si>
  <si>
    <t xml:space="preserve">Los tiempos y las preocupaciones propias de nuestra cooperativa que se encuentra en un momento difícil.</t>
  </si>
  <si>
    <t xml:space="preserve">Enfocarse en el plenario y prepararse para el año difícil que nos espera</t>
  </si>
  <si>
    <t xml:space="preserve">Nos representa la solidaridad para con otras coopes, el hecho de "poder tirar todos para el mismo lado".</t>
  </si>
  <si>
    <t xml:space="preserve">En lo laboral nos ayudó mucho, especialmente este año cuando se nos cayó un proyecto que representaba gran parte del % de facturación de la coope. En lo social nos hizo darnos cuenta que no estábamos solos. En lo filosófico nos permitió tener intercambios muy constructivos con otras coopes y ver otras realidades distintas a la nuestra.</t>
  </si>
  <si>
    <t xml:space="preserve">El hecho de poder "hacer espalda" junto con otras coopes, especialmente en estos tiempos difíciles, además del intercambio de ideas y la construcción de un proyecto colectivo.</t>
  </si>
  <si>
    <t xml:space="preserve">Creo que desde el consejo de nuestra coope estamos fallando un poco en la "bajada de línea" para conscientizar lo importante que es la participación en este tipo de espacios. Como autocrítica, nuestra coope se centra muchísimo en lo laboral, y a veces dejamos de lado el contacto con nuestro ecosistema. Es algo que lo venimos hablando mucho y nos gustaría en un futuro tratar de mejorarlo.</t>
  </si>
  <si>
    <t xml:space="preserve">Las discusiones siempre son enriquecedoras, pero muchas veces se monopoliza la palabra en las mismas personas, y desalienta que otras voces a lo mejor no tan acostumbradas a debatir. Por otro lado, algunas discusiones de las cuáles participamos se extendieron durante un lapso de tiempo muy largo, y a veces se hace dificil llevar el hilo durante tanto tiempo sin llegar a tomar decisiones concretas.</t>
  </si>
  <si>
    <t xml:space="preserve">(Le pusimos 1 a los espacios donde no participamos, no sé si está bien o no)</t>
  </si>
  <si>
    <t xml:space="preserve">Union y Solidaridad</t>
  </si>
  <si>
    <t xml:space="preserve">Informacion General</t>
  </si>
  <si>
    <t xml:space="preserve">Mejores trabajos</t>
  </si>
  <si>
    <t xml:space="preserve">tiempo, temas de interes</t>
  </si>
  <si>
    <t xml:space="preserve">foco en otros intereses o problemas que no tienen que ver con nosotros.</t>
  </si>
  <si>
    <t xml:space="preserve">No disponemos de tiempo para participar de los espacios.</t>
  </si>
  <si>
    <t xml:space="preserve">Formas realizar trabajos en conjunto</t>
  </si>
  <si>
    <t xml:space="preserve">Comunidad, valores compartidos. </t>
  </si>
  <si>
    <t xml:space="preserve"> conocimiento compartido, propuestas comerciales integradas por linea de negocio</t>
  </si>
  <si>
    <t xml:space="preserve">Construcción colectiva de herramienta de segundo grado. </t>
  </si>
  <si>
    <t xml:space="preserve">nos resulta dificil la asignación de tiempos porque a veces estamos muy exigidos por la diaria en clientes. </t>
  </si>
  <si>
    <t xml:space="preserve">Hay algo en el dispositivo "asamblea abierta - consejo abierto - grupos" que no estamos logrando que fluya bien ... las participaciones son discontinuas </t>
  </si>
  <si>
    <t xml:space="preserve">Planificar la gestión comercial, contemplando busquedas de oportunidades tanto para las coopes que estan con falta de proyecto como para aquellas que tienen una proyección mas clara orientada a lineas de negocio o tecnologias, trabajar como integrar esas busquedas, pensar acciones de misiones comerciales, pagina web, otros recursos en funcion de esta estrategia, analizando costo y resultado. También deberiamos poder pensar propuestas de evolución de la propuesta de valor de las coopes que tienen pocos proyectos, al menos en los casos en que no tengan una propuesta de valor muy vendible y les este impactando en las posibilidades que no llegan. Como acompañamos estas evoluciones?</t>
  </si>
  <si>
    <t xml:space="preserve">Somos nuevxs en la Federación y nos sumamos por la importancia de ser parte de ámbitos de organización y construcción con otres.</t>
  </si>
  <si>
    <t xml:space="preserve">Por ahora no hemos participado mucho como para poder dar cuenta de ello.</t>
  </si>
  <si>
    <t xml:space="preserve">La necesidad de contar con espacios para articular con otras cooperativas y construir representaciones más dialogadas, federales, amplias.</t>
  </si>
  <si>
    <t xml:space="preserve">Tiempo / recursos, que están vinculados + conocimiento de cómo funciona la federación y de qué forma nos podemos retroalimentar</t>
  </si>
  <si>
    <t xml:space="preserve">más articulación y acciones vinculadas con el contexto complejo</t>
  </si>
  <si>
    <t xml:space="preserve">Eficiencia, Solidaridad, Producción e Industria Nacional</t>
  </si>
  <si>
    <t xml:space="preserve">Compartir experiencias y planificar los pasos de crecimiento cooperativo nacional junto a pares.</t>
  </si>
  <si>
    <t xml:space="preserve">Seguir fortaleciendo y hacer crecer el movimiento cooperativo.</t>
  </si>
  <si>
    <t xml:space="preserve">No vemos obstaculos en nuestra participación</t>
  </si>
  <si>
    <t xml:space="preserve">Consideramos que la federación tiene debilidades en el alcance de sus espacios y en las planificaciones estratégicas que se realizan. Definir mejor los objetivos puede ayudar a la delimitación de espacios de manera funcional para fortalecer las cooperativas asociadas. También, trabajar en planificaciones estratégicas con objetivos de crecimiento como federación creemos que puede ayudar a tener pasos a seguir por todas sus entidades. Mancomunar objetivos de Asociación, fortalecimiento y crecimiento de cada cooperativa para poder tener más peso en las representaciones en el sector y en las políticas nacionales.</t>
  </si>
  <si>
    <t xml:space="preserve">Creemos que hay 3 aspectos principales en el momento actual: Ampliar la red de vinculaciones que permitan hacer visible al cooperativismo tecnológico, fortalecer el ecosistema comercial con la contratación de un perfil pagado por la federación, iniciar un plan de asociación de entidades a la federación y una serie de capacitaciones abiertas para cooperativas.</t>
  </si>
  <si>
    <t xml:space="preserve">La particularidad de no ser una empresa de Software</t>
  </si>
  <si>
    <t xml:space="preserve">Aporta en organización y herramientas por la posibilidad de diálogo y articulación entre coopes.</t>
  </si>
  <si>
    <t xml:space="preserve">Constriur vínculos cooperativos a nivel nacional y crecer en organización</t>
  </si>
  <si>
    <t xml:space="preserve">Disponibilidad de tiempos, distancia respecto a los temas que se suelen hablar más vinculados al desarrollo.</t>
  </si>
  <si>
    <t xml:space="preserve">Quizás dificultad en la comunicación entre referentes, falta de participación de las coopes que somos más nuevas</t>
  </si>
  <si>
    <t xml:space="preserve">Nuestra dificultad para participar nos impide pensar mejoras concretas</t>
  </si>
  <si>
    <t xml:space="preserve">El trabajo en equipo o la intercooperacion </t>
  </si>
  <si>
    <t xml:space="preserve">Estar integrados en un espacio que aporta a nuestro desarrollo economico y, si fuera el caso, la defensa de los derechos cooperativos</t>
  </si>
  <si>
    <t xml:space="preserve">En la actualidad nuestras motivaciones con facttic son comerciales e institucionales</t>
  </si>
  <si>
    <t xml:space="preserve">Recursos y tiempos</t>
  </si>
  <si>
    <t xml:space="preserve">Los valores y la moral cooperativa no están siendo concurrente con algunos espacios dentro de la federación. Ejemplo presidencia o cláusulas dentro de los servicios profesionales, esto conlleva no defender espacios de trabajo conseguidos mediante la labor cooperativa , dando lugar al oportunismo individual.</t>
  </si>
  <si>
    <t xml:space="preserve">Reforzar el compromiso y la participacion de asociados de aquellas cooperativas que participan en proyectos intercooperativos en espacios comerciales </t>
  </si>
  <si>
    <t xml:space="preserve">Nos identificamos con los valores que promueven la organización colectiva de los trabajadores, la búsqueda de soberanía tecnológica y el compromiso por compartir el conocimiento de base. Creemos que FACTTIC encarna la posibilidad de pensar la tecnología desde una mirada cooperativa y crítica, capaz de interpelar el contexto social en el que trabajamos y construir alternativas sostenibles frente a las lógicas del mercado.</t>
  </si>
  <si>
    <t xml:space="preserve">FACTTIC nos aporta, ante todo, un espacio de experimentación y creación colectiva, donde es posible probar y proponer nuevas formas de intercooperación. Entender los limites de lo colectivo, y empujarlos siempre un poco más. Nos permite superar también los límites del territorio desde distintos ejes —el trabajo, el aprendizaje, la organización política—. Crecemos desafiandonos mutuamente a encontrar formas que hagan de lo colectivo una realidad. Es en la praxis, en los disensos, en los encuentros y desencuentros donde vemos valioso seguir trabajando juntos.</t>
  </si>
  <si>
    <t xml:space="preserve">Co construir red desde la cual potenciar el trabajo que desarrollamos junto a otros; nutrir un espacio que fomenta que otras coopes aparezcan; desafiarnos entre las coopes respecto a posicionamientos y praxis políticas que nos impulsen a trabajar en pos de la soberanía tecnológica, como ha sido el cooperativismo de plataformas, los datos abiertos, y actualmente encontrar soluciones conjuntas al panorama actual que trae la inteligencia artificial. Además nos gustaría que FACTTIC sea un espacio desde el cual hacer puentes con otros sectores y organizaciones que nos lleven a trabajar en proyectos más interdisciplinarios, con atención a nuestra fuerza de trabajo y organización para poder acompañar otras luchas sociales afines a la ESS.</t>
  </si>
  <si>
    <t xml:space="preserve">Hoy estamos participando activamente y con buena representatividad. Sin embargo, creemos que algunos detalles hacen que los tiempos de militancia política de otros compañeros/as vayan directmante al territorio. La falta de un plan de trabajo general, que motive a los asociados a comprometerse con algun espacio específico de la federación. La desconexión con los territorios, y por ende la falta de propuestas federadas. </t>
  </si>
  <si>
    <t xml:space="preserve">Creemos que FACTTIC atraviesa una crisis de representatividad que se manifiesta en distintos planos: la falta de cohesión interna, la debilidad del trabajo colectivo y la ausencia de una visión compartida que oriente a las cooperativas hacia proyectos comunes. Salvo espacios especificos, no se percibe una línea de acción común, ni donde las experiencias locales y sectoriales puedan nutrir una estrategia federativa. La participación de FACTTIC en diversos eventos se percibe personalista y poco representativa, en tanto no refleja el trabajo, las reflexiones y el espíritu colectivo que surge de las cooperativas. Además, la pluralidad en la representación es muy baja. Consideramos que una buena parte de esta situación se encuentra marcada por el rol de Manuel Leiva, cuya forma de participación termina afectando el funcionamiento del Consejo. Detectamos, a nuestro parecer, muy baja capacidad de planificación, poca experiencia en cooperativismo, individualismo, poca capacidad de construcción colectiva y falta de autocrítica. Todo esto afecta a la búsqueda genuina del bien colectivo. Por otro lado, creemos necesario revisar y actualizar los espacios existentes dentro de la Federación y sus objetivos concretos, ya que muchos de ellos han perdido fuerza, cohesión y capacidad de impacto. </t>
  </si>
  <si>
    <t xml:space="preserve">Creemos necesario fomentar los espacios de diálogo genuino y autocrítica para poder recuperar aprendizajes que afloran de este ultimo periodo. Aprender de nuestros errores, ya que son inevitables y mejorar. Proponemos reveer nuestros mecanismos de formación de cuadros. Necesitamos construir el próximo consejo durante el consejo actual, dando lugar a la representación y fomentando la capacitación cooperativista. Creemos clave que en estos roles haya perfiles técnicos también, construir nuestra política desde la bases del trabajo. Los consejeros actuales formando y dando lugar a los futuros como bandera. Distribuir el poder en vez de concentrarlo. La revolución que propone el cooperativismo. Hay que reconstruir la confianza interna en torno a un proyecto común, transparente y participativo, donde la voz de todas las cooperativas vuelva a tener peso y sobre todo, sentido. Por eso creemos clave construir la nueva estructura de espacios y lineas de acción a través de talleres participativos de manera colectiva. Reordenar y unificar esfuerzos respecto de los espacios de FACTTIC, permitiría optimizar los tiempos de quienes los sostienen, pero sobre todo favorecería el cumplimiento real de los objetivos comunes. Y que esto nos permita crear entre el consejo de administración y los espacios que nutren la federación, un plan de trabajo general y común.</t>
  </si>
  <si>
    <t xml:space="preserve">Responsabilidad social </t>
  </si>
  <si>
    <t xml:space="preserve">Redes, contactos, alianzas</t>
  </si>
  <si>
    <t xml:space="preserve">Ser parte de una organización que promueve el desarrollo colectivo de empresas de la economía social </t>
  </si>
  <si>
    <t xml:space="preserve">Recursos, espacios donde se trabaje la responsabilidad social y la sustentabilidad.</t>
  </si>
  <si>
    <t xml:space="preserve">Responsabilidad social y sustentabilidad </t>
  </si>
  <si>
    <t xml:space="preserve">Los valores cremos que representan a nuestra cooperativa son: fomento del modelo cooperativista y particularmente del cooperativismo tecnológico. Fomento de la cultura libre y de la soberania tecnologica (dificil una sin la otra). Trabajo en red a traves de la intercooperacion, dentro de facttic y para con otras organizaciones e instituciones. Soliadridad a traves del acompañamiento y fortalecimiento de las cooperativas de nuestra federacion, ya sean necesidades administrativas, comerciales, o de otra indole.</t>
  </si>
  <si>
    <t xml:space="preserve">una red de fortalecimiento e intercooperacion.|</t>
  </si>
  <si>
    <t xml:space="preserve">al momento lo que no nos permite dedicarle el tiempo y esfuerzo a la federacion es la falta de trabajo.</t>
  </si>
  <si>
    <t xml:space="preserve">poder ser parte de una estructura mas amplia y grande, que nos permita crecer y dar respuesta a mas y mejores proyectos laborales. </t>
  </si>
  <si>
    <t xml:space="preserve"> la falta de objetivos claros y puntuales sobre los cuales construir. La poca comunicacion y articulacion entre los espacios internos de facttic. La falta de organizacion, planificacion y comunicacion para la representacion de FACTTIC en eventos externos, sentimos que muchas veces la "chapa" de la federacion es utilizada para beneficios personales y terminan siendo, valga la redundancia, representaciones poco representativas de la federacion.</t>
  </si>
  <si>
    <t xml:space="preserve">Nuevas coopes: 8 ; Patio: 6</t>
  </si>
  <si>
    <t xml:space="preserve">en la definicion de objetivos y prioridades de LA FEDERACION.</t>
  </si>
  <si>
    <t xml:space="preserve"> La intercooperación es el eje que impulsa nuestro crecimiento, al trabajar en conjunto con otras cooperativas, no solo ampliamos nuestras capacidades técnicas y comerciales, sino que fortalecemos nuestra comunidad. En relación a la comunidad, creemos que es un un valor esencial que se ha ido diluyendo con el tiempo dentro de la federación y que merece ser reactivado para sostener nuestro propósito común. </t>
  </si>
  <si>
    <t xml:space="preserve"> La federación nos brinda visibilidad y refuerza nuestro potencial colectivo: no somos una empresa pequeña, sino un grupo de cooperativas con gran capacidad y proyección. Sin embargo, la falta de comunidad que mencionamos en la respuesta anterior limita el alcance de esa fortaleza. </t>
  </si>
  <si>
    <t xml:space="preserve"> Las dinámicas mencionadas anteriormente también inciden en este punto. Gran parte de nuestra energía está puesta en mantener la estabilidad de nuestra cooperativa, que se vio afectada en gran medida por el proceso de separación vivido recientemente. En esta instancia de la vida de nuestra cooperativa necesitamos que participar activamente en FACTTIC nos sume energía y nos empodere, y por el contrario nos enfrenta a dinámicas que nos incomodan y que nos requieren de mucha energía a la hora de enfrentarlas para intentar participar. </t>
  </si>
  <si>
    <t xml:space="preserve"> Se perdió un poco el desinterés que había por hacer crecer a la federación, ayudar a que todas las cooperativas estemos bien, trabajando e intercooperando. Cada vez más se ve acumulación de poder en personas y espacios, lo cual nos aleja. </t>
  </si>
  <si>
    <t xml:space="preserve"> Necesitamos reconstruir espacios donde la confianza y la horizontalidad sean el eje, promoviendo una participación abierta y equitativa. Evitar la concentración de poder, tanto en personas como en espacios, es fundamental para que todas las voces tengan lugar y para recuperar el espíritu cooperativo que nos une. </t>
  </si>
  <si>
    <t xml:space="preserve">Incubación o compañerismo</t>
  </si>
  <si>
    <t xml:space="preserve">Estabilidad, construcción en conjunto, miradas diversas, comercialización más amplia</t>
  </si>
  <si>
    <t xml:space="preserve">Compartir con otras Cooperativas con distintos recorridos y experiencias. Formar parte de un órgano más grande, con más peso y con mayor capacidad. </t>
  </si>
  <si>
    <t xml:space="preserve">Tenemos una participación bastante acotada a lo comercial. Nos cuesta sostener otros espacios, tal vez falta de interés y de motivación. Nos parece que a veces las discusiones se estiran de más, se vuelve medio lento el proceso y eso va desacelerando el active.</t>
  </si>
  <si>
    <t xml:space="preserve">Nos parece que el Consejo tiene una lógica bastante verticalista, en especial la presidencia del mismo. Que muchas veces más que fomentar procesos los obstaculiza y burocratiza. </t>
  </si>
  <si>
    <t xml:space="preserve">Mayor dinamismo, mayor nivel de autonomía de los espacios.</t>
  </si>
  <si>
    <t xml:space="preserve"> Los valores que más nos caracterizan como cooperativa son la horizontalidad, el trabajo colectivo y el feminismo. </t>
  </si>
  <si>
    <t xml:space="preserve"> Nos aporta integración, redes, oportunidades de proyectos. </t>
  </si>
  <si>
    <t xml:space="preserve"> En este momento, nuestro mayor obstáculo es la situación financiera de nuestra cooperativa que no nos permite destinar tiempo a los espacios de FACTTIC. En otros casos, la disponibilidad horaria, ya que las reuniones de algunos espacios se llevan a cabo en horarios en los que las compas interesadas en participar no pueden. También reconocemos que el objeto de nuestra cooperativa no llega a encajar del todo con las discusiones que se tienen en los espacios. Es un obstáculo que nos hemos planteado superar, pero vemos que al no brindar servicios de desarrollo o programación no encajamos en muchas de las discusiones o propuestas (como el semillero o el club cooperativo). Entendemos que con la participación activa en los espacios esto puede revertirse pero debemos solucionar la sustentabilidad económica de la coope primero. </t>
  </si>
  <si>
    <t xml:space="preserve"> Pese a los avances (relevamientos de género, mesas específicas), notamos la desigualdad numérica importante, además de que los cargos de toma de decisiones siguen estando dominados mayoritariamente por varones. </t>
  </si>
  <si>
    <t>C</t>
  </si>
  <si>
    <t>Mati</t>
  </si>
  <si>
    <t>Her</t>
  </si>
  <si>
    <t>Lau</t>
  </si>
  <si>
    <t xml:space="preserve">Mati, C y Lau</t>
  </si>
  <si>
    <t xml:space="preserve">INTERCOOPERACIÓN. 
Por recurrencia Intercooperación (8 veces literal + 1 cooperación+ proyectos intercoop. TOTAL 10) 
Por convergencia: modelo contrahegemónico de trabajo y organización, organización colectiva del trabajo, trabajo en equipo, potencia de la red, etc…
SOLIDARIDAD 
por recurrencia (10 VECES) 
Por convergencia: fraternidad, tirar para el mismo lado, unión, responsabilidad social, compañerismo. etc
CONTRAHEGEMONÍA 
- Lo que nos diferencia de una empresa de capital - 
Lo colectivo - la mirada crítica - alternativa sostenible frente a las lógicas de mercado
SOBERANÍA TECNOLÓGICA (3 veces) - vinculada cultura libre
SUELTITAS: Eficiencia</t>
  </si>
  <si>
    <t xml:space="preserve">red de fortalecimiento, potencial colectivo, intercooperación - - - - - - - - - - - - - 13
comercialización, desarrollo económico - - - - - - - - - - - - - 13
formación, conocimiento, experiencias - - - - - - - - 8
Acompañamiento, contención, sostén moral - - - - - 5
visibilidad - - 2
representatividad - - 2
Según las respuestas recolectadas nuestra federación aporta a las cooperativas:
Un espacio de construcción colectiva, es decir, una red de fortalecimiento con impronta en la intercooperación.
En segundo lugar, FACTTIC contribuye a la posibilidad de acceder a mejores oportunidades comerciales y al desarrollo económico de las cooperativas.
En tercer lugar, la federación aporta un espacio para el intercambio de experiencias, formación y conocimiento.
Una red de contención, acompañamiento y sostén moral.
En ultimo lugar, aporta representatividad y visibilidad de los intereses de las cooperativas de tecnología ante el Estado, organismos públicos y otras instituciones.
Dentro de FACTTIC, también, hay cooperativas que consideran que no se ve el impacto de la federación en su cotidiano.</t>
  </si>
  <si>
    <t xml:space="preserve">El relevamiento obtuvo un total de 27 respuestas. Es importante aclarar que la suma de los porcentajes por categoría no alcanza el 100%, dado que en varios casos las cooperativas identificaron más de un tipo de obstáculo. A partir del análisis de las respuestas, se reconocieron los siguientes ejes principales:
Limitaciones de tiempo y recursos 45%
El obstáculo más recurrente señalado por las cooperativas es la falta de tiempo y recursos. Esto en la mayoría de los casos se da porque las cooperativas deben priorizar las horas destinadas a proyectos productivos o comerciales, lo que deja poco margen para la participación en la Federación. 
Falta de democratización y tensiones políticas 27%
Algunas respuestas aluden a la falta de la democratización y transparencia en los procesos de FACTTIC, también en las oportunidades de representación y la concentración de la información (falta de colectivización). También se menciona fragmentación interna y dinámicas personalistas o inorgánicas dentro de la federación. Estos factores generan una sensación de distancia y desalientan la participación.
Interés, identificación e involucramiento 27%
5 cooperativas mencionan dificultades para transmitir internamente el valor de pertenecer a la federación, o la falta de interés por parte de les integrantes de la cooperativa en sumarse. Otras 2 cooperativas señalan que la fuerte impronta de informatica en FACTTIC genera dificultades de identificación para aquellas que provienen de otros rubros o servicios profesionales. 
Organización 25%
Cuatro de las veintisiete cooperativas consultadas mencionaron aspectos organizativos como obstáculos para la participación, aunque cada una señaló problemáticas diferentes. Entre los puntos se destacan la falta de un plan de trabajo general que oriente y motive a las cooperativas a involucrarse en los distintos espacios; el uso de herramientas de nicho, la escasa claridad en los roles y responsabilidades dentro de la federación; y la limitada difusión sobre su funcionamiento interno. Asimismo, se señaló que la extensión de algunas discusiones y la lentitud en la toma de decisiones pueden generar un desgaste o pérdida de interés.
Políticos 11%
Tres cooperativas señalaron cuestiones políticas como obstáculos para su participación en la federación. Mencionaron, por un lado, una desconexión con los territorios, lo que las lleva a orientar su tiempo y energía militante hacia otros espacios políticos donde se sienten más representades. Otra destacó la falta de posicionamiento institucional frente a la avanzada fascista y el contexto político actual; y una tercera la falta de tratamientos que le interesan como la responsabilidad social y la sustentabilidad. 
En resumen, si bien las limitaciones de tiempo y recursos aparecen como la principal dificultad, reflejando la tensión entre la sostenibilidad económica y la participación política, también emergen desafíos vinculados a la democratización interna, la circulación de la información y las dinámicas organizativas. Asimismo, se observan factores relacionados con el interés, la identificación y el sentido de pertenencia hacia la federación, que varían según el perfil y las características de cada cooperativa. Finalmente, un grupo menor de respuestas incorporó consideraciones políticas más amplias, expresando preocupaciones por la desconexión territorial y la falta de posicionamiento institucional frente al contexto nacional.</t>
  </si>
  <si>
    <t xml:space="preserve">Ideas más recurrentes: 
Cuestión SECTORIAL - Mayoría de software otro sectores no encuentran la forma de participar. 
Posicionamiento político público de la federación frente a la coyuntura 
Falta de objetivos y planificación
Crisis de representatividad Uso de la federación para fines personales. - oportunismo individual. </t>
  </si>
  <si>
    <r>
      <rPr>
        <b/>
        <sz val="11"/>
        <color theme="1"/>
        <rFont val="Calibri"/>
        <scheme val="minor"/>
      </rPr>
      <t xml:space="preserve">Organizacón: </t>
    </r>
    <r>
      <rPr>
        <sz val="11"/>
        <color theme="1"/>
        <rFont val="Calibri"/>
        <scheme val="minor"/>
      </rPr>
      <t xml:space="preserve">objetivos comunes, plan de trabajo estrategico, articulacion interna y rol de los espacios. </t>
    </r>
    <r>
      <rPr>
        <b/>
        <sz val="11"/>
        <color theme="1"/>
        <rFont val="Calibri"/>
        <scheme val="minor"/>
      </rPr>
      <t>Comercial:</t>
    </r>
    <r>
      <rPr>
        <sz val="11"/>
        <color theme="1"/>
        <rFont val="Calibri"/>
        <scheme val="minor"/>
      </rPr>
      <t xml:space="preserve"> actualmente se esta trabajando desde GCU. </t>
    </r>
    <r>
      <rPr>
        <b/>
        <sz val="11"/>
        <color theme="1"/>
        <rFont val="Calibri"/>
        <scheme val="minor"/>
      </rPr>
      <t>Politico</t>
    </r>
    <r>
      <rPr>
        <sz val="11"/>
        <color theme="1"/>
        <rFont val="Calibri"/>
        <scheme val="minor"/>
      </rPr>
      <t xml:space="preserve">:  </t>
    </r>
    <r>
      <rPr>
        <b/>
        <sz val="11"/>
        <color theme="1"/>
        <rFont val="Calibri"/>
        <scheme val="minor"/>
      </rPr>
      <t xml:space="preserve">Formaciones: </t>
    </r>
    <r>
      <rPr>
        <sz val="11"/>
        <color theme="1"/>
        <rFont val="Calibri"/>
        <scheme val="minor"/>
      </rPr>
      <t xml:space="preserve">apoyarnos en las herramientas que se construyeron colectivamente, MIT.</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</si>
</sst>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b/>
      <sz val="7.500000"/>
      <name val="Calibri"/>
    </font>
    <font>
      <sz val="7.500000"/>
      <name val="Calibri"/>
    </font>
    <font>
      <sz val="10.000000"/>
      <name val="Times New Roman"/>
    </font>
    <font>
      <sz val="20.000000"/>
      <name val="Calibri"/>
    </font>
    <font>
      <sz val="8.000000"/>
      <color theme="1"/>
      <name val="Calibri"/>
      <scheme val="minor"/>
    </font>
    <font>
      <sz val="11.000000"/>
      <name val="Arial"/>
    </font>
    <font>
      <b/>
      <sz val="11.000000"/>
      <name val="Arial"/>
    </font>
  </fonts>
  <fills count="9">
    <fill>
      <patternFill patternType="none"/>
    </fill>
    <fill>
      <patternFill patternType="gray125"/>
    </fill>
    <fill>
      <patternFill patternType="solid">
        <fgColor theme="9" tint="0.79998168889431442"/>
        <bgColor theme="9" tint="0.79998168889431442"/>
      </patternFill>
    </fill>
    <fill>
      <patternFill patternType="solid">
        <fgColor theme="7" tint="0.79998168889431442"/>
        <bgColor theme="7" tint="0.79998168889431442"/>
      </patternFill>
    </fill>
    <fill>
      <patternFill patternType="solid">
        <fgColor theme="5" tint="0.79998168889431442"/>
        <bgColor theme="5" tint="0.79998168889431442"/>
      </patternFill>
    </fill>
    <fill>
      <patternFill patternType="solid">
        <fgColor rgb="FFFF6B6B"/>
        <bgColor rgb="FFFF6B6B"/>
      </patternFill>
    </fill>
    <fill>
      <patternFill patternType="solid">
        <fgColor theme="2" tint="0"/>
        <bgColor theme="2" tint="0"/>
      </patternFill>
    </fill>
    <fill>
      <patternFill patternType="solid">
        <fgColor theme="8" tint="0.79998168889431442"/>
        <bgColor theme="8" tint="0.79998168889431442"/>
      </patternFill>
    </fill>
    <fill>
      <patternFill patternType="solid">
        <fgColor indexed="5"/>
        <bgColor indexed="5"/>
      </patternFill>
    </fill>
  </fills>
  <borders count="2">
    <border>
      <left/>
      <right/>
      <top/>
      <bottom/>
      <diagonal/>
    </border>
    <border>
      <left style="thin">
        <color theme="1"/>
      </left>
      <right style="thin">
        <color theme="1"/>
      </right>
      <top style="thin">
        <color theme="1"/>
      </top>
      <bottom style="thin">
        <color theme="1"/>
      </bottom>
      <diagonal/>
    </border>
  </borders>
  <cellStyleXfs count="1">
    <xf fontId="0" fillId="0" borderId="0" numFmtId="0" applyNumberFormat="1" applyFont="1" applyFill="1" applyBorder="1"/>
  </cellStyleXfs>
  <cellXfs count="18">
    <xf fontId="0" fillId="0" borderId="0" numFmtId="0" xfId="0"/>
    <xf fontId="0" fillId="0" borderId="0" numFmtId="0" xfId="0" applyAlignment="1">
      <alignment wrapText="1"/>
    </xf>
    <xf fontId="1" fillId="2" borderId="1" numFmtId="0" xfId="0" applyFont="1" applyFill="1" applyBorder="1" applyAlignment="1">
      <alignment vertical="center" wrapText="1"/>
    </xf>
    <xf fontId="2" fillId="0" borderId="1" numFmtId="0" xfId="0" applyFont="1" applyBorder="1" applyAlignment="1">
      <alignment vertical="center" wrapText="1"/>
    </xf>
    <xf fontId="2" fillId="3" borderId="1" numFmtId="0" xfId="0" applyFont="1" applyFill="1" applyBorder="1" applyAlignment="1">
      <alignment vertical="center" wrapText="1"/>
    </xf>
    <xf fontId="3" fillId="0" borderId="1" numFmtId="0" xfId="0" applyFont="1" applyBorder="1" applyAlignment="1">
      <alignment vertical="center" wrapText="1"/>
    </xf>
    <xf fontId="2" fillId="4" borderId="1" numFmtId="0" xfId="0" applyFont="1" applyFill="1" applyBorder="1" applyAlignment="1">
      <alignment vertical="center" wrapText="1"/>
    </xf>
    <xf fontId="3" fillId="5" borderId="1" numFmtId="0" xfId="0" applyFont="1" applyFill="1" applyBorder="1" applyAlignment="1">
      <alignment vertical="center" wrapText="1"/>
    </xf>
    <xf fontId="2" fillId="6" borderId="1" numFmtId="0" xfId="0" applyFont="1" applyFill="1" applyBorder="1" applyAlignment="1">
      <alignment vertical="center" wrapText="1"/>
    </xf>
    <xf fontId="2" fillId="7" borderId="1" numFmtId="0" xfId="0" applyFont="1" applyFill="1" applyBorder="1" applyAlignment="1">
      <alignment vertical="center" wrapText="1"/>
    </xf>
    <xf fontId="2" fillId="5" borderId="1" numFmtId="0" xfId="0" applyFont="1" applyFill="1" applyBorder="1" applyAlignment="1">
      <alignment vertical="center" wrapText="1"/>
    </xf>
    <xf fontId="4" fillId="8" borderId="1" numFmtId="2" xfId="0" applyNumberFormat="1" applyFont="1" applyFill="1" applyBorder="1" applyAlignment="1">
      <alignment vertical="center" wrapText="1"/>
    </xf>
    <xf fontId="4" fillId="0" borderId="1" numFmtId="2" xfId="0" applyNumberFormat="1" applyFont="1" applyBorder="1" applyAlignment="1">
      <alignment vertical="center" wrapText="1"/>
    </xf>
    <xf fontId="0" fillId="0" borderId="1" numFmtId="0" xfId="0" applyBorder="1" applyAlignment="1">
      <alignment wrapText="1"/>
    </xf>
    <xf fontId="5" fillId="0" borderId="0" numFmtId="0" xfId="0" applyFont="1" applyAlignment="1">
      <alignment wrapText="1"/>
    </xf>
    <xf fontId="6" fillId="0" borderId="0" numFmtId="0" xfId="0" applyFont="1" applyAlignment="1">
      <alignment horizontal="left" wrapText="1"/>
    </xf>
    <xf fontId="3" fillId="0" borderId="0" numFmtId="0" xfId="0" applyFont="1" applyAlignment="1">
      <alignment horizontal="left" wrapText="1"/>
    </xf>
    <xf fontId="7" fillId="0" borderId="0" numFmt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1.xml"/><Relationship  Id="rId1"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aura-animus" id="{36210F6E-9F7E-557D-4F72-045FFE55FF60}" userId="ocb96bjbbs5t_laura-animus"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D16" dT="2025-10-28T13:31:18.06Z" personId="{36210F6E-9F7E-557D-4F72-045FFE55FF60}" id="{0FEBD413-8ABF-FEE6-19D3-6FEFB72D66AE}" done="0">
    <text xml:space="preserve">Además de recursos, no se sienten representados por la federación, y que tampoco tienen para aportar. No hacen software.
</text>
  </threadedComment>
  <threadedComment ref="D19" dT="2025-10-28T13:33:26.17Z" personId="{36210F6E-9F7E-557D-4F72-045FFE55FF60}" id="{35A57402-4E42-C86D-0554-513D0A725C3D}" done="0">
    <text xml:space="preserve">también interés
</text>
  </threadedComment>
  <threadedComment ref="D21" dT="2025-10-28T13:34:36.03Z" personId="{36210F6E-9F7E-557D-4F72-045FFE55FF60}" id="{75DCDB11-90F7-0551-9634-188183C63C5D}" done="0">
    <text xml:space="preserve">conocer cómo funciona la federación
</text>
  </threadedComment>
  <threadedComment ref="D23" dT="2025-10-28T13:35:17.21Z" personId="{36210F6E-9F7E-557D-4F72-045FFE55FF60}" id="{37B3B260-2256-A1C5-F913-7C4ACAFF4E8B}" done="0">
    <text xml:space="preserve">No hacen desarrollo, se sienten lejos de la temática
</text>
  </threadedComment>
  <threadedComment ref="D26" dT="2025-10-28T13:36:55.89Z" personId="{36210F6E-9F7E-557D-4F72-045FFE55FF60}" id="{75DF6F38-FD04-2EEA-951A-E592DC84D377}" done="0">
    <text xml:space="preserve">tratar temas que les interese: responsabilidad soc y sustentabiliad
</text>
  </threadedComment>
  <threadedComment ref="D5" dT="2025-10-28T14:06:29.08Z" personId="{36210F6E-9F7E-557D-4F72-045FFE55FF60}" id="{8D93F9E0-2C99-C26C-BBA2-377631CBCAE0}" done="0">
    <text xml:space="preserve">Agregar lo de la falta de posicionamiento
Y las herramientas de nicho
</text>
  </threadedComment>
  <threadedComment ref="D6" dT="2025-10-28T14:16:42.70Z" personId="{36210F6E-9F7E-557D-4F72-045FFE55FF60}" id="{009A4DED-AE75-4868-E3A5-176BAB27DCC8}" done="0">
    <text xml:space="preserve">dificultad para transmitir al resto de la coope el valor de FACTTIC
</text>
  </threadedComment>
</ThreadedComments>
</file>

<file path=xl/worksheets/_rels/sheet1.xml.rels><?xml version="1.0" encoding="UTF-8" standalone="yes"?><Relationships xmlns="http://schemas.openxmlformats.org/package/2006/relationships"><Relationship  Id="rId3" Type="http://schemas.openxmlformats.org/officeDocument/2006/relationships/vmlDrawing" Target="../drawings/vmlDrawing1.vml"/><Relationship  Id="rId2" Type="http://schemas.openxmlformats.org/officeDocument/2006/relationships/comments" Target="../comments1.xml"/><Relationship  Id="rId1"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customWidth="1" min="1" max="1" style="1" width="81.7109375"/>
    <col customWidth="1" min="2" max="2" style="1" width="67.8515625"/>
    <col customWidth="1" min="3" max="3" style="1" width="99.00390625"/>
    <col customWidth="1" min="4" max="4" style="1" width="52.7109375"/>
    <col customWidth="1" min="5" max="5" style="1" width="68.421875"/>
    <col bestFit="1" min="6" max="15" style="1" width="10.140625"/>
    <col customWidth="1" min="16" max="16" style="1" width="23.28125"/>
    <col customWidth="1" min="17" max="17" style="1" width="81.140625"/>
    <col min="18" max="16384" style="1" width="9.140625"/>
  </cols>
  <sheetData>
    <row r="1" ht="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31.5">
      <c r="A2" s="3" t="s">
        <v>17</v>
      </c>
      <c r="B2" s="3" t="s">
        <v>18</v>
      </c>
      <c r="C2" s="3" t="s">
        <v>19</v>
      </c>
      <c r="D2" s="4" t="s">
        <v>20</v>
      </c>
      <c r="E2" s="3" t="s">
        <v>21</v>
      </c>
      <c r="F2" s="3">
        <v>10</v>
      </c>
      <c r="G2" s="3">
        <v>8</v>
      </c>
      <c r="H2" s="3">
        <v>5</v>
      </c>
      <c r="I2" s="3">
        <v>7</v>
      </c>
      <c r="J2" s="3">
        <v>3</v>
      </c>
      <c r="K2" s="3">
        <v>10</v>
      </c>
      <c r="L2" s="3">
        <v>7</v>
      </c>
      <c r="M2" s="3">
        <v>9</v>
      </c>
      <c r="N2" s="3">
        <v>10</v>
      </c>
      <c r="O2" s="3">
        <v>5</v>
      </c>
      <c r="P2" s="5"/>
      <c r="Q2" s="3" t="s">
        <v>22</v>
      </c>
    </row>
    <row r="3" ht="21">
      <c r="A3" s="5"/>
      <c r="B3" s="3" t="s">
        <v>23</v>
      </c>
      <c r="C3" s="3" t="s">
        <v>24</v>
      </c>
      <c r="D3" s="6" t="s">
        <v>25</v>
      </c>
      <c r="E3" s="3" t="s">
        <v>26</v>
      </c>
      <c r="F3" s="3">
        <v>9</v>
      </c>
      <c r="G3" s="3">
        <v>9</v>
      </c>
      <c r="H3" s="3">
        <v>7</v>
      </c>
      <c r="I3" s="3">
        <v>10</v>
      </c>
      <c r="J3" s="3">
        <v>8</v>
      </c>
      <c r="K3" s="3">
        <v>10</v>
      </c>
      <c r="L3" s="3">
        <v>10</v>
      </c>
      <c r="M3" s="3">
        <v>1</v>
      </c>
      <c r="N3" s="3">
        <v>8</v>
      </c>
      <c r="O3" s="3">
        <v>8</v>
      </c>
      <c r="P3" s="5"/>
      <c r="Q3" s="3" t="s">
        <v>27</v>
      </c>
    </row>
    <row r="4" ht="63">
      <c r="A4" s="3" t="s">
        <v>28</v>
      </c>
      <c r="B4" s="3" t="s">
        <v>29</v>
      </c>
      <c r="C4" s="3" t="s">
        <v>30</v>
      </c>
      <c r="D4" s="6" t="s">
        <v>31</v>
      </c>
      <c r="E4" s="3" t="s">
        <v>32</v>
      </c>
      <c r="F4" s="3">
        <v>10</v>
      </c>
      <c r="G4" s="3">
        <v>10</v>
      </c>
      <c r="H4" s="3">
        <v>8</v>
      </c>
      <c r="I4" s="3">
        <v>10</v>
      </c>
      <c r="J4" s="3">
        <v>10</v>
      </c>
      <c r="K4" s="3">
        <v>10</v>
      </c>
      <c r="L4" s="3">
        <v>7</v>
      </c>
      <c r="M4" s="3">
        <v>7</v>
      </c>
      <c r="N4" s="3">
        <v>8</v>
      </c>
      <c r="O4" s="3">
        <v>8</v>
      </c>
      <c r="P4" s="3" t="s">
        <v>33</v>
      </c>
      <c r="Q4" s="3" t="s">
        <v>34</v>
      </c>
    </row>
    <row r="5" ht="52.5">
      <c r="A5" s="3" t="s">
        <v>35</v>
      </c>
      <c r="B5" s="3" t="s">
        <v>36</v>
      </c>
      <c r="C5" s="3" t="s">
        <v>37</v>
      </c>
      <c r="D5" s="4" t="s">
        <v>38</v>
      </c>
      <c r="E5" s="3" t="s">
        <v>39</v>
      </c>
      <c r="F5" s="3">
        <v>8</v>
      </c>
      <c r="G5" s="3">
        <v>5</v>
      </c>
      <c r="H5" s="3">
        <v>3</v>
      </c>
      <c r="I5" s="3">
        <v>6</v>
      </c>
      <c r="J5" s="3">
        <v>4</v>
      </c>
      <c r="K5" s="3">
        <v>6</v>
      </c>
      <c r="L5" s="3">
        <v>1</v>
      </c>
      <c r="M5" s="3">
        <v>1</v>
      </c>
      <c r="N5" s="3">
        <v>1</v>
      </c>
      <c r="O5" s="3">
        <v>1</v>
      </c>
      <c r="P5" s="5"/>
      <c r="Q5" s="3" t="s">
        <v>40</v>
      </c>
    </row>
    <row r="6" ht="21">
      <c r="A6" s="3" t="s">
        <v>41</v>
      </c>
      <c r="B6" s="3" t="s">
        <v>42</v>
      </c>
      <c r="C6" s="3" t="s">
        <v>43</v>
      </c>
      <c r="D6" s="4" t="s">
        <v>44</v>
      </c>
      <c r="E6" s="3" t="s">
        <v>45</v>
      </c>
      <c r="F6" s="3">
        <v>10</v>
      </c>
      <c r="G6" s="3">
        <v>4</v>
      </c>
      <c r="H6" s="3">
        <v>8</v>
      </c>
      <c r="I6" s="3">
        <v>5</v>
      </c>
      <c r="J6" s="3">
        <v>8</v>
      </c>
      <c r="K6" s="3">
        <v>8</v>
      </c>
      <c r="L6" s="3">
        <v>4</v>
      </c>
      <c r="M6" s="3">
        <v>8</v>
      </c>
      <c r="N6" s="3">
        <v>4</v>
      </c>
      <c r="O6" s="3">
        <v>4</v>
      </c>
      <c r="P6" s="5"/>
      <c r="Q6" s="3" t="s">
        <v>46</v>
      </c>
    </row>
    <row r="7" ht="21">
      <c r="A7" s="3" t="s">
        <v>47</v>
      </c>
      <c r="B7" s="3" t="s">
        <v>48</v>
      </c>
      <c r="C7" s="3" t="s">
        <v>49</v>
      </c>
      <c r="D7" s="3" t="s">
        <v>50</v>
      </c>
      <c r="E7" s="3" t="s">
        <v>51</v>
      </c>
      <c r="F7" s="3">
        <v>7</v>
      </c>
      <c r="G7" s="3">
        <v>5</v>
      </c>
      <c r="H7" s="3">
        <v>6</v>
      </c>
      <c r="I7" s="3">
        <v>5</v>
      </c>
      <c r="J7" s="3">
        <v>2</v>
      </c>
      <c r="K7" s="3">
        <v>8</v>
      </c>
      <c r="L7" s="3">
        <v>1</v>
      </c>
      <c r="M7" s="3">
        <v>6</v>
      </c>
      <c r="N7" s="3">
        <v>6</v>
      </c>
      <c r="O7" s="3">
        <v>6</v>
      </c>
      <c r="P7" s="3" t="s">
        <v>52</v>
      </c>
      <c r="Q7" s="3" t="s">
        <v>53</v>
      </c>
    </row>
    <row r="8" ht="63">
      <c r="A8" s="3" t="s">
        <v>54</v>
      </c>
      <c r="B8" s="3" t="s">
        <v>55</v>
      </c>
      <c r="C8" s="3" t="s">
        <v>56</v>
      </c>
      <c r="D8" s="4" t="s">
        <v>57</v>
      </c>
      <c r="E8" s="3" t="s">
        <v>58</v>
      </c>
      <c r="F8" s="3">
        <v>10</v>
      </c>
      <c r="G8" s="3">
        <v>9</v>
      </c>
      <c r="H8" s="3">
        <v>9</v>
      </c>
      <c r="I8" s="3">
        <v>7</v>
      </c>
      <c r="J8" s="3">
        <v>6</v>
      </c>
      <c r="K8" s="3">
        <v>5</v>
      </c>
      <c r="L8" s="3">
        <v>4</v>
      </c>
      <c r="M8" s="3">
        <v>10</v>
      </c>
      <c r="N8" s="3">
        <v>3</v>
      </c>
      <c r="O8" s="3">
        <v>2</v>
      </c>
      <c r="P8" s="5"/>
      <c r="Q8" s="3" t="s">
        <v>59</v>
      </c>
    </row>
    <row r="9" ht="21">
      <c r="A9" s="3" t="s">
        <v>60</v>
      </c>
      <c r="B9" s="3" t="s">
        <v>61</v>
      </c>
      <c r="C9" s="3" t="s">
        <v>62</v>
      </c>
      <c r="D9" s="3" t="s">
        <v>63</v>
      </c>
      <c r="E9" s="3" t="s">
        <v>64</v>
      </c>
      <c r="F9" s="3">
        <v>10</v>
      </c>
      <c r="G9" s="3">
        <v>10</v>
      </c>
      <c r="H9" s="3">
        <v>10</v>
      </c>
      <c r="I9" s="3">
        <v>5</v>
      </c>
      <c r="J9" s="3">
        <v>9</v>
      </c>
      <c r="K9" s="3">
        <v>10</v>
      </c>
      <c r="L9" s="3">
        <v>6</v>
      </c>
      <c r="M9" s="3">
        <v>7</v>
      </c>
      <c r="N9" s="3">
        <v>6</v>
      </c>
      <c r="O9" s="3">
        <v>6</v>
      </c>
      <c r="P9" s="5"/>
      <c r="Q9" s="5"/>
    </row>
    <row r="10" ht="14.25">
      <c r="A10" s="3" t="s">
        <v>65</v>
      </c>
      <c r="B10" s="3" t="s">
        <v>66</v>
      </c>
      <c r="C10" s="3" t="s">
        <v>67</v>
      </c>
      <c r="D10" s="6" t="s">
        <v>68</v>
      </c>
      <c r="E10" s="3" t="s">
        <v>52</v>
      </c>
      <c r="F10" s="3">
        <v>7</v>
      </c>
      <c r="G10" s="3">
        <v>7</v>
      </c>
      <c r="H10" s="7"/>
      <c r="I10" s="7"/>
      <c r="J10" s="7"/>
      <c r="K10" s="3">
        <v>8</v>
      </c>
      <c r="L10" s="7"/>
      <c r="M10" s="7"/>
      <c r="N10" s="7"/>
      <c r="O10" s="3">
        <v>7</v>
      </c>
      <c r="P10" s="5"/>
      <c r="Q10" s="5"/>
    </row>
    <row r="11" ht="52.5">
      <c r="A11" s="3" t="s">
        <v>69</v>
      </c>
      <c r="B11" s="3" t="s">
        <v>70</v>
      </c>
      <c r="C11" s="3" t="s">
        <v>71</v>
      </c>
      <c r="D11" s="4" t="s">
        <v>72</v>
      </c>
      <c r="E11" s="3" t="s">
        <v>73</v>
      </c>
      <c r="F11" s="3">
        <v>10</v>
      </c>
      <c r="G11" s="3">
        <v>10</v>
      </c>
      <c r="H11" s="3">
        <v>10</v>
      </c>
      <c r="I11" s="3">
        <v>10</v>
      </c>
      <c r="J11" s="3">
        <v>10</v>
      </c>
      <c r="K11" s="3">
        <v>10</v>
      </c>
      <c r="L11" s="7"/>
      <c r="M11" s="3">
        <v>10</v>
      </c>
      <c r="N11" s="3">
        <v>10</v>
      </c>
      <c r="O11" s="7"/>
      <c r="P11" s="5"/>
      <c r="Q11" s="3" t="s">
        <v>74</v>
      </c>
    </row>
    <row r="12" ht="105">
      <c r="A12" s="3" t="s">
        <v>75</v>
      </c>
      <c r="B12" s="3" t="s">
        <v>76</v>
      </c>
      <c r="C12" s="3" t="s">
        <v>77</v>
      </c>
      <c r="D12" s="4" t="s">
        <v>78</v>
      </c>
      <c r="E12" s="3" t="s">
        <v>79</v>
      </c>
      <c r="F12" s="3">
        <v>10</v>
      </c>
      <c r="G12" s="3">
        <v>9</v>
      </c>
      <c r="H12" s="3">
        <v>6</v>
      </c>
      <c r="I12" s="7"/>
      <c r="J12" s="7"/>
      <c r="K12" s="7"/>
      <c r="L12" s="7"/>
      <c r="M12" s="7"/>
      <c r="N12" s="7"/>
      <c r="O12" s="7"/>
      <c r="P12" s="5"/>
      <c r="Q12" s="3" t="s">
        <v>80</v>
      </c>
    </row>
    <row r="13" ht="21">
      <c r="A13" s="3" t="s">
        <v>81</v>
      </c>
      <c r="B13" s="3" t="s">
        <v>82</v>
      </c>
      <c r="C13" s="3" t="s">
        <v>83</v>
      </c>
      <c r="D13" s="3" t="s">
        <v>84</v>
      </c>
      <c r="E13" s="3" t="s">
        <v>85</v>
      </c>
      <c r="F13" s="3">
        <v>7</v>
      </c>
      <c r="G13" s="3">
        <v>7</v>
      </c>
      <c r="H13" s="3">
        <v>4</v>
      </c>
      <c r="I13" s="3">
        <v>10</v>
      </c>
      <c r="J13" s="3">
        <v>4</v>
      </c>
      <c r="K13" s="3">
        <v>5</v>
      </c>
      <c r="L13" s="3">
        <v>5</v>
      </c>
      <c r="M13" s="3">
        <v>5</v>
      </c>
      <c r="N13" s="3">
        <v>10</v>
      </c>
      <c r="O13" s="3">
        <v>7</v>
      </c>
      <c r="P13" s="5"/>
      <c r="Q13" s="3" t="s">
        <v>86</v>
      </c>
    </row>
    <row r="14" ht="21">
      <c r="A14" s="3" t="s">
        <v>87</v>
      </c>
      <c r="B14" s="3" t="s">
        <v>88</v>
      </c>
      <c r="C14" s="3" t="s">
        <v>89</v>
      </c>
      <c r="D14" s="8" t="s">
        <v>90</v>
      </c>
      <c r="E14" s="3" t="s">
        <v>91</v>
      </c>
      <c r="F14" s="3">
        <v>10</v>
      </c>
      <c r="G14" s="3">
        <v>6</v>
      </c>
      <c r="H14" s="3">
        <v>5</v>
      </c>
      <c r="I14" s="3">
        <v>5</v>
      </c>
      <c r="J14" s="3">
        <v>6</v>
      </c>
      <c r="K14" s="3">
        <v>7</v>
      </c>
      <c r="L14" s="3">
        <v>5</v>
      </c>
      <c r="M14" s="3">
        <v>5</v>
      </c>
      <c r="N14" s="3">
        <v>6</v>
      </c>
      <c r="O14" s="3">
        <v>5</v>
      </c>
      <c r="P14" s="5"/>
      <c r="Q14" s="3" t="s">
        <v>92</v>
      </c>
    </row>
    <row r="15" ht="21">
      <c r="A15" s="3" t="s">
        <v>93</v>
      </c>
      <c r="B15" s="3" t="s">
        <v>94</v>
      </c>
      <c r="C15" s="3" t="s">
        <v>95</v>
      </c>
      <c r="D15" s="6" t="s">
        <v>96</v>
      </c>
      <c r="E15" s="5"/>
      <c r="F15" s="3">
        <v>10</v>
      </c>
      <c r="G15" s="3">
        <v>9</v>
      </c>
      <c r="H15" s="3">
        <v>10</v>
      </c>
      <c r="I15" s="3">
        <v>9</v>
      </c>
      <c r="J15" s="3">
        <v>10</v>
      </c>
      <c r="K15" s="3">
        <v>10</v>
      </c>
      <c r="L15" s="3">
        <v>9</v>
      </c>
      <c r="M15" s="3">
        <v>10</v>
      </c>
      <c r="N15" s="3">
        <v>10</v>
      </c>
      <c r="O15" s="3">
        <v>10</v>
      </c>
      <c r="P15" s="5"/>
      <c r="Q15" s="3" t="s">
        <v>97</v>
      </c>
    </row>
    <row r="16" ht="94.5">
      <c r="A16" s="3" t="s">
        <v>98</v>
      </c>
      <c r="B16" s="3" t="s">
        <v>99</v>
      </c>
      <c r="C16" s="3" t="s">
        <v>100</v>
      </c>
      <c r="D16" s="6" t="s">
        <v>101</v>
      </c>
      <c r="E16" s="3" t="s">
        <v>102</v>
      </c>
      <c r="F16" s="3">
        <v>9</v>
      </c>
      <c r="G16" s="3">
        <v>7</v>
      </c>
      <c r="H16" s="3">
        <v>6</v>
      </c>
      <c r="I16" s="3">
        <v>8</v>
      </c>
      <c r="J16" s="3">
        <v>5</v>
      </c>
      <c r="K16" s="3">
        <v>3</v>
      </c>
      <c r="L16" s="3">
        <v>1</v>
      </c>
      <c r="M16" s="3">
        <v>1</v>
      </c>
      <c r="N16" s="3">
        <v>3</v>
      </c>
      <c r="O16" s="3">
        <v>6</v>
      </c>
      <c r="P16" s="5"/>
      <c r="Q16" s="5"/>
    </row>
    <row r="17" ht="21">
      <c r="A17" s="3" t="s">
        <v>103</v>
      </c>
      <c r="B17" s="3" t="s">
        <v>104</v>
      </c>
      <c r="C17" s="3" t="s">
        <v>105</v>
      </c>
      <c r="D17" s="6" t="s">
        <v>106</v>
      </c>
      <c r="E17" s="3" t="s">
        <v>52</v>
      </c>
      <c r="F17" s="3">
        <v>10</v>
      </c>
      <c r="G17" s="3">
        <v>9</v>
      </c>
      <c r="H17" s="3">
        <v>9</v>
      </c>
      <c r="I17" s="3">
        <v>9</v>
      </c>
      <c r="J17" s="3">
        <v>8</v>
      </c>
      <c r="K17" s="3">
        <v>8</v>
      </c>
      <c r="L17" s="7"/>
      <c r="M17" s="3">
        <v>8</v>
      </c>
      <c r="N17" s="7"/>
      <c r="O17" s="7"/>
      <c r="P17" s="5"/>
      <c r="Q17" s="3" t="s">
        <v>107</v>
      </c>
    </row>
    <row r="18" ht="52.5">
      <c r="A18" s="3" t="s">
        <v>108</v>
      </c>
      <c r="B18" s="3" t="s">
        <v>109</v>
      </c>
      <c r="C18" s="3" t="s">
        <v>110</v>
      </c>
      <c r="D18" s="8" t="s">
        <v>111</v>
      </c>
      <c r="E18" s="3" t="s">
        <v>112</v>
      </c>
      <c r="F18" s="3">
        <v>9</v>
      </c>
      <c r="G18" s="3">
        <v>1</v>
      </c>
      <c r="H18" s="3">
        <v>1</v>
      </c>
      <c r="I18" s="3">
        <v>1</v>
      </c>
      <c r="J18" s="3">
        <v>9</v>
      </c>
      <c r="K18" s="3">
        <v>9</v>
      </c>
      <c r="L18" s="3">
        <v>1</v>
      </c>
      <c r="M18" s="3">
        <v>1</v>
      </c>
      <c r="N18" s="3">
        <v>8</v>
      </c>
      <c r="O18" s="3">
        <v>9</v>
      </c>
      <c r="P18" s="3" t="s">
        <v>113</v>
      </c>
      <c r="Q18" s="3" t="s">
        <v>52</v>
      </c>
    </row>
    <row r="19" ht="21">
      <c r="A19" s="3" t="s">
        <v>114</v>
      </c>
      <c r="B19" s="3" t="s">
        <v>115</v>
      </c>
      <c r="C19" s="3" t="s">
        <v>116</v>
      </c>
      <c r="D19" s="6" t="s">
        <v>117</v>
      </c>
      <c r="E19" s="3" t="s">
        <v>118</v>
      </c>
      <c r="F19" s="3">
        <v>5</v>
      </c>
      <c r="G19" s="3">
        <v>5</v>
      </c>
      <c r="H19" s="3">
        <v>5</v>
      </c>
      <c r="I19" s="3">
        <v>5</v>
      </c>
      <c r="J19" s="3">
        <v>8</v>
      </c>
      <c r="K19" s="3">
        <v>5</v>
      </c>
      <c r="L19" s="3">
        <v>5</v>
      </c>
      <c r="M19" s="3">
        <v>5</v>
      </c>
      <c r="N19" s="3">
        <v>5</v>
      </c>
      <c r="O19" s="3">
        <v>10</v>
      </c>
      <c r="P19" s="3" t="s">
        <v>119</v>
      </c>
      <c r="Q19" s="3" t="s">
        <v>120</v>
      </c>
    </row>
    <row r="20" ht="63">
      <c r="A20" s="3" t="s">
        <v>121</v>
      </c>
      <c r="B20" s="3" t="s">
        <v>122</v>
      </c>
      <c r="C20" s="3" t="s">
        <v>123</v>
      </c>
      <c r="D20" s="6" t="s">
        <v>124</v>
      </c>
      <c r="E20" s="3" t="s">
        <v>125</v>
      </c>
      <c r="F20" s="3">
        <v>10</v>
      </c>
      <c r="G20" s="3">
        <v>7</v>
      </c>
      <c r="H20" s="3">
        <v>7</v>
      </c>
      <c r="I20" s="3">
        <v>5</v>
      </c>
      <c r="J20" s="3">
        <v>7</v>
      </c>
      <c r="K20" s="3">
        <v>9</v>
      </c>
      <c r="L20" s="3">
        <v>5</v>
      </c>
      <c r="M20" s="3">
        <v>7</v>
      </c>
      <c r="N20" s="3">
        <v>7</v>
      </c>
      <c r="O20" s="3">
        <v>7</v>
      </c>
      <c r="P20" s="5"/>
      <c r="Q20" s="3" t="s">
        <v>126</v>
      </c>
    </row>
    <row r="21" ht="21">
      <c r="A21" s="3" t="s">
        <v>127</v>
      </c>
      <c r="B21" s="3" t="s">
        <v>128</v>
      </c>
      <c r="C21" s="3" t="s">
        <v>129</v>
      </c>
      <c r="D21" s="6" t="s">
        <v>130</v>
      </c>
      <c r="E21" s="5"/>
      <c r="F21" s="3">
        <v>6</v>
      </c>
      <c r="G21" s="3">
        <v>6</v>
      </c>
      <c r="H21" s="7"/>
      <c r="I21" s="7"/>
      <c r="J21" s="3">
        <v>10</v>
      </c>
      <c r="K21" s="7"/>
      <c r="L21" s="7"/>
      <c r="M21" s="7"/>
      <c r="N21" s="7"/>
      <c r="O21" s="7"/>
      <c r="P21" s="5"/>
      <c r="Q21" s="3" t="s">
        <v>131</v>
      </c>
    </row>
    <row r="22" ht="63">
      <c r="A22" s="3" t="s">
        <v>132</v>
      </c>
      <c r="B22" s="3" t="s">
        <v>133</v>
      </c>
      <c r="C22" s="3" t="s">
        <v>134</v>
      </c>
      <c r="D22" s="3" t="s">
        <v>135</v>
      </c>
      <c r="E22" s="3" t="s">
        <v>136</v>
      </c>
      <c r="F22" s="3">
        <v>10</v>
      </c>
      <c r="G22" s="3">
        <v>6</v>
      </c>
      <c r="H22" s="3">
        <v>5</v>
      </c>
      <c r="I22" s="7"/>
      <c r="J22" s="3">
        <v>8</v>
      </c>
      <c r="K22" s="3">
        <v>8</v>
      </c>
      <c r="L22" s="7"/>
      <c r="M22" s="7"/>
      <c r="N22" s="7"/>
      <c r="O22" s="3">
        <v>8</v>
      </c>
      <c r="P22" s="5"/>
      <c r="Q22" s="3" t="s">
        <v>137</v>
      </c>
    </row>
    <row r="23" ht="21">
      <c r="A23" s="3" t="s">
        <v>138</v>
      </c>
      <c r="B23" s="3" t="s">
        <v>139</v>
      </c>
      <c r="C23" s="3" t="s">
        <v>140</v>
      </c>
      <c r="D23" s="6" t="s">
        <v>141</v>
      </c>
      <c r="E23" s="3" t="s">
        <v>142</v>
      </c>
      <c r="F23" s="3">
        <v>8</v>
      </c>
      <c r="G23" s="3">
        <v>4</v>
      </c>
      <c r="H23" s="3">
        <v>4</v>
      </c>
      <c r="I23" s="3">
        <v>6</v>
      </c>
      <c r="J23" s="3">
        <v>6</v>
      </c>
      <c r="K23" s="3">
        <v>4</v>
      </c>
      <c r="L23" s="3">
        <v>1</v>
      </c>
      <c r="M23" s="3">
        <v>1</v>
      </c>
      <c r="N23" s="3">
        <v>1</v>
      </c>
      <c r="O23" s="3">
        <v>1</v>
      </c>
      <c r="P23" s="5"/>
      <c r="Q23" s="3" t="s">
        <v>143</v>
      </c>
    </row>
    <row r="24" ht="31.5">
      <c r="A24" s="3" t="s">
        <v>144</v>
      </c>
      <c r="B24" s="3" t="s">
        <v>145</v>
      </c>
      <c r="C24" s="3" t="s">
        <v>146</v>
      </c>
      <c r="D24" s="6" t="s">
        <v>147</v>
      </c>
      <c r="E24" s="3" t="s">
        <v>148</v>
      </c>
      <c r="F24" s="3">
        <v>9</v>
      </c>
      <c r="G24" s="3">
        <v>3</v>
      </c>
      <c r="H24" s="3">
        <v>1</v>
      </c>
      <c r="I24" s="3">
        <v>1</v>
      </c>
      <c r="J24" s="3">
        <v>7</v>
      </c>
      <c r="K24" s="3">
        <v>8</v>
      </c>
      <c r="L24" s="3">
        <v>1</v>
      </c>
      <c r="M24" s="3">
        <v>1</v>
      </c>
      <c r="N24" s="3">
        <v>6</v>
      </c>
      <c r="O24" s="3">
        <v>1</v>
      </c>
      <c r="P24" s="5"/>
      <c r="Q24" s="3" t="s">
        <v>149</v>
      </c>
    </row>
    <row r="25" ht="115.5">
      <c r="A25" s="3" t="s">
        <v>150</v>
      </c>
      <c r="B25" s="3" t="s">
        <v>151</v>
      </c>
      <c r="C25" s="3" t="s">
        <v>152</v>
      </c>
      <c r="D25" s="9" t="s">
        <v>153</v>
      </c>
      <c r="E25" s="3" t="s">
        <v>154</v>
      </c>
      <c r="F25" s="3">
        <v>8</v>
      </c>
      <c r="G25" s="3">
        <v>7</v>
      </c>
      <c r="H25" s="3">
        <v>5</v>
      </c>
      <c r="I25" s="3">
        <v>9</v>
      </c>
      <c r="J25" s="3">
        <v>8</v>
      </c>
      <c r="K25" s="3">
        <v>9</v>
      </c>
      <c r="L25" s="3">
        <v>5</v>
      </c>
      <c r="M25" s="3">
        <v>7</v>
      </c>
      <c r="N25" s="3">
        <v>9</v>
      </c>
      <c r="O25" s="3">
        <v>5</v>
      </c>
      <c r="P25" s="5"/>
      <c r="Q25" s="3" t="s">
        <v>155</v>
      </c>
    </row>
    <row r="26" ht="21">
      <c r="A26" s="3" t="s">
        <v>156</v>
      </c>
      <c r="B26" s="3" t="s">
        <v>157</v>
      </c>
      <c r="C26" s="3" t="s">
        <v>158</v>
      </c>
      <c r="D26" s="6" t="s">
        <v>159</v>
      </c>
      <c r="E26" s="5"/>
      <c r="F26" s="3">
        <v>8</v>
      </c>
      <c r="G26" s="3">
        <v>6</v>
      </c>
      <c r="H26" s="3">
        <v>6</v>
      </c>
      <c r="I26" s="3">
        <v>6</v>
      </c>
      <c r="J26" s="3">
        <v>7</v>
      </c>
      <c r="K26" s="3">
        <v>6</v>
      </c>
      <c r="L26" s="3">
        <v>6</v>
      </c>
      <c r="M26" s="3">
        <v>6</v>
      </c>
      <c r="N26" s="3">
        <v>6</v>
      </c>
      <c r="O26" s="3">
        <v>6</v>
      </c>
      <c r="P26" s="5"/>
      <c r="Q26" s="3" t="s">
        <v>160</v>
      </c>
    </row>
    <row r="27" ht="42">
      <c r="A27" s="3" t="s">
        <v>161</v>
      </c>
      <c r="B27" s="3" t="s">
        <v>162</v>
      </c>
      <c r="C27" s="3" t="s">
        <v>163</v>
      </c>
      <c r="D27" s="3" t="s">
        <v>164</v>
      </c>
      <c r="E27" s="3" t="s">
        <v>165</v>
      </c>
      <c r="F27" s="3">
        <v>10</v>
      </c>
      <c r="G27" s="3">
        <v>8</v>
      </c>
      <c r="H27" s="3">
        <v>6</v>
      </c>
      <c r="I27" s="3">
        <v>6</v>
      </c>
      <c r="J27" s="3">
        <v>5</v>
      </c>
      <c r="K27" s="3">
        <v>8</v>
      </c>
      <c r="L27" s="3">
        <v>1</v>
      </c>
      <c r="M27" s="3">
        <v>8</v>
      </c>
      <c r="N27" s="3">
        <v>6</v>
      </c>
      <c r="O27" s="3">
        <v>1</v>
      </c>
      <c r="P27" s="3" t="s">
        <v>166</v>
      </c>
      <c r="Q27" s="3" t="s">
        <v>167</v>
      </c>
    </row>
    <row r="28" ht="73.5">
      <c r="A28" s="3" t="s">
        <v>168</v>
      </c>
      <c r="B28" s="3" t="s">
        <v>169</v>
      </c>
      <c r="C28" s="3"/>
      <c r="D28" s="3" t="s">
        <v>170</v>
      </c>
      <c r="E28" s="3" t="s">
        <v>171</v>
      </c>
      <c r="F28" s="3">
        <v>5</v>
      </c>
      <c r="G28" s="3">
        <v>7</v>
      </c>
      <c r="H28" s="3">
        <v>6</v>
      </c>
      <c r="I28" s="3">
        <v>5</v>
      </c>
      <c r="J28" s="3">
        <v>5</v>
      </c>
      <c r="K28" s="3">
        <v>2</v>
      </c>
      <c r="L28" s="3">
        <v>6</v>
      </c>
      <c r="M28" s="3">
        <v>5</v>
      </c>
      <c r="N28" s="3">
        <v>3</v>
      </c>
      <c r="O28" s="3">
        <v>5</v>
      </c>
      <c r="P28" s="3"/>
      <c r="Q28" s="3" t="s">
        <v>172</v>
      </c>
    </row>
    <row r="29" ht="31.5">
      <c r="A29" s="3" t="s">
        <v>173</v>
      </c>
      <c r="B29" s="3" t="s">
        <v>174</v>
      </c>
      <c r="C29" s="3" t="s">
        <v>175</v>
      </c>
      <c r="D29" s="9" t="s">
        <v>176</v>
      </c>
      <c r="E29" s="3" t="s">
        <v>177</v>
      </c>
      <c r="F29" s="3">
        <v>8</v>
      </c>
      <c r="G29" s="3">
        <v>6</v>
      </c>
      <c r="H29" s="3">
        <v>3</v>
      </c>
      <c r="I29" s="3">
        <v>5</v>
      </c>
      <c r="J29" s="3">
        <v>6</v>
      </c>
      <c r="K29" s="3">
        <v>9</v>
      </c>
      <c r="L29" s="3">
        <v>5</v>
      </c>
      <c r="M29" s="3">
        <v>3</v>
      </c>
      <c r="N29" s="3">
        <v>5</v>
      </c>
      <c r="O29" s="3">
        <v>3</v>
      </c>
      <c r="P29" s="5"/>
      <c r="Q29" s="3" t="s">
        <v>178</v>
      </c>
    </row>
    <row r="30" ht="105">
      <c r="A30" s="3" t="s">
        <v>179</v>
      </c>
      <c r="B30" s="3" t="s">
        <v>180</v>
      </c>
      <c r="C30" s="3"/>
      <c r="D30" s="9" t="s">
        <v>181</v>
      </c>
      <c r="E30" s="3" t="s">
        <v>182</v>
      </c>
      <c r="F30" s="10"/>
      <c r="G30" s="10"/>
      <c r="H30" s="10"/>
      <c r="I30" s="3">
        <v>7</v>
      </c>
      <c r="J30" s="10"/>
      <c r="K30" s="10"/>
      <c r="L30" s="10"/>
      <c r="M30" s="10"/>
      <c r="N30" s="10"/>
      <c r="O30" s="10"/>
      <c r="P30" s="5"/>
      <c r="Q30" s="3"/>
    </row>
    <row r="31" ht="26.25">
      <c r="A31" s="3"/>
      <c r="B31" s="3"/>
      <c r="C31" s="3"/>
      <c r="D31" s="3"/>
      <c r="E31" s="3"/>
      <c r="F31" s="11">
        <f>(SUM(F2:F29)/28)</f>
        <v>8.6785714285714288</v>
      </c>
      <c r="G31" s="11">
        <f>(SUM(G2:G29)/28)</f>
        <v>6.7857142857142856</v>
      </c>
      <c r="H31" s="12">
        <f>(SUM(H2:H29)/26)</f>
        <v>5.9615384615384617</v>
      </c>
      <c r="I31" s="12">
        <f>(SUM(I2:I30)/25)</f>
        <v>6.4800000000000004</v>
      </c>
      <c r="J31" s="12">
        <f>(SUM(J2:J29)/26)</f>
        <v>6.884615384615385</v>
      </c>
      <c r="K31" s="11">
        <f>(SUM(K2:K29)/26)</f>
        <v>7.5</v>
      </c>
      <c r="L31" s="12">
        <f>(SUM(L2:L29)/22)</f>
        <v>4.3636363636363633</v>
      </c>
      <c r="M31" s="12">
        <f>(SUM(M2:M30)/24)</f>
        <v>5.5</v>
      </c>
      <c r="N31" s="12">
        <f>(SUM(N2:N30)/23)</f>
        <v>6.1304347826086953</v>
      </c>
      <c r="O31" s="12">
        <f>(SUM(O2:O30)/24)</f>
        <v>5.458333333333333</v>
      </c>
      <c r="P31" s="13"/>
      <c r="Q31" s="3"/>
    </row>
    <row r="32" ht="14.25">
      <c r="A32" s="1" t="s">
        <v>183</v>
      </c>
      <c r="B32" s="1" t="s">
        <v>184</v>
      </c>
      <c r="C32" s="1" t="s">
        <v>185</v>
      </c>
      <c r="D32" s="1" t="s">
        <v>186</v>
      </c>
      <c r="E32" s="1" t="s">
        <v>187</v>
      </c>
      <c r="F32" s="1"/>
      <c r="G32" s="1"/>
      <c r="H32" s="1"/>
      <c r="I32" s="1"/>
      <c r="J32" s="1"/>
      <c r="K32" s="1"/>
      <c r="L32" s="1"/>
      <c r="M32" s="1"/>
      <c r="N32" s="1"/>
      <c r="O32" s="1"/>
      <c r="P32" s="1"/>
      <c r="Q32" s="1" t="s">
        <v>187</v>
      </c>
    </row>
    <row r="33" ht="409.5">
      <c r="A33" s="14" t="s">
        <v>188</v>
      </c>
      <c r="B33" s="14" t="s">
        <v>189</v>
      </c>
      <c r="C33" s="1"/>
      <c r="D33" s="14" t="s">
        <v>190</v>
      </c>
      <c r="E33" s="14" t="s">
        <v>191</v>
      </c>
      <c r="F33" s="1"/>
      <c r="G33" s="1"/>
      <c r="H33" s="1"/>
      <c r="I33" s="1"/>
      <c r="J33" s="1"/>
      <c r="K33" s="1"/>
      <c r="L33" s="1"/>
      <c r="M33" s="1"/>
      <c r="N33" s="1"/>
      <c r="O33" s="1"/>
      <c r="P33" s="1"/>
      <c r="Q33" s="1" t="s">
        <v>192</v>
      </c>
    </row>
    <row r="34" ht="409.5">
      <c r="A34" s="15"/>
      <c r="B34" s="1"/>
      <c r="C34" s="1"/>
      <c r="D34" s="1" t="s">
        <v>190</v>
      </c>
      <c r="E34" s="15"/>
      <c r="F34" s="1"/>
      <c r="G34" s="1"/>
      <c r="H34" s="1"/>
      <c r="I34" s="1"/>
      <c r="J34" s="1"/>
      <c r="K34" s="1"/>
      <c r="L34" s="1"/>
      <c r="M34" s="1"/>
      <c r="N34" s="1"/>
      <c r="O34" s="1"/>
      <c r="P34" s="1"/>
      <c r="Q34" s="1"/>
    </row>
    <row r="35" ht="14.25">
      <c r="A35" s="15"/>
      <c r="B35" s="1"/>
      <c r="C35" s="1"/>
      <c r="D35" s="1"/>
      <c r="E35" s="16"/>
      <c r="F35" s="1"/>
      <c r="G35" s="1"/>
      <c r="H35" s="1"/>
      <c r="I35" s="1"/>
      <c r="J35" s="1"/>
      <c r="K35" s="1"/>
      <c r="L35" s="1"/>
      <c r="M35" s="1"/>
      <c r="N35" s="1"/>
      <c r="O35" s="1"/>
      <c r="P35" s="1"/>
      <c r="Q35" s="1"/>
    </row>
    <row r="36" ht="14.25">
      <c r="A36" s="16"/>
      <c r="B36" s="1"/>
      <c r="C36" s="1"/>
      <c r="D36" s="1"/>
      <c r="E36" s="1"/>
      <c r="F36" s="1"/>
      <c r="G36" s="1"/>
      <c r="H36" s="1"/>
      <c r="I36" s="1"/>
      <c r="J36" s="1"/>
      <c r="K36" s="1"/>
      <c r="L36" s="1"/>
      <c r="M36" s="1"/>
      <c r="N36" s="1"/>
      <c r="O36" s="1"/>
      <c r="P36" s="1"/>
      <c r="Q36" s="1"/>
    </row>
    <row r="37" ht="14.25">
      <c r="A37" s="1"/>
      <c r="B37" s="1"/>
      <c r="C37" s="1"/>
      <c r="D37" s="1"/>
      <c r="E37" s="15"/>
      <c r="F37" s="1"/>
      <c r="G37" s="1"/>
      <c r="H37" s="1"/>
      <c r="I37" s="1"/>
      <c r="J37" s="1"/>
      <c r="K37" s="1"/>
      <c r="L37" s="1"/>
      <c r="M37" s="1"/>
      <c r="N37" s="1"/>
      <c r="O37" s="1"/>
      <c r="P37" s="1"/>
      <c r="Q37" s="1"/>
    </row>
    <row r="38" ht="14.25">
      <c r="A38" s="17"/>
      <c r="B38" s="1"/>
      <c r="C38" s="1"/>
      <c r="D38" s="1"/>
      <c r="E38" s="16"/>
      <c r="F38" s="1"/>
      <c r="G38" s="1"/>
      <c r="H38" s="1"/>
      <c r="I38" s="1"/>
      <c r="J38" s="1"/>
      <c r="K38" s="1"/>
      <c r="L38" s="1"/>
      <c r="M38" s="1"/>
      <c r="N38" s="1"/>
      <c r="O38" s="1"/>
      <c r="P38" s="1"/>
      <c r="Q38" s="1"/>
    </row>
    <row r="39" ht="14.25">
      <c r="A39" s="15"/>
      <c r="B39" s="1"/>
      <c r="C39" s="1"/>
      <c r="D39" s="1"/>
      <c r="E39" s="1"/>
      <c r="F39" s="1"/>
      <c r="G39" s="1"/>
      <c r="H39" s="1"/>
      <c r="I39" s="1"/>
      <c r="J39" s="1"/>
      <c r="K39" s="1"/>
      <c r="L39" s="1"/>
      <c r="M39" s="1"/>
      <c r="N39" s="1"/>
      <c r="O39" s="1"/>
      <c r="P39" s="1"/>
      <c r="Q39" s="1"/>
    </row>
    <row r="40" ht="14.25">
      <c r="A40" s="15"/>
      <c r="B40" s="1"/>
      <c r="C40" s="1"/>
      <c r="D40" s="1"/>
      <c r="E40" s="15"/>
      <c r="F40" s="1"/>
      <c r="G40" s="1"/>
      <c r="H40" s="1"/>
      <c r="I40" s="1"/>
      <c r="J40" s="1"/>
      <c r="K40" s="1"/>
      <c r="L40" s="1"/>
      <c r="M40" s="1"/>
      <c r="N40" s="1"/>
      <c r="O40" s="1"/>
      <c r="P40" s="1"/>
      <c r="Q40" s="1"/>
    </row>
    <row r="41" ht="14.25">
      <c r="A41" s="16"/>
      <c r="B41" s="1"/>
      <c r="C41" s="1"/>
      <c r="D41" s="1"/>
      <c r="E41" s="16"/>
      <c r="F41" s="1"/>
      <c r="G41" s="1"/>
      <c r="H41" s="1"/>
      <c r="I41" s="1"/>
      <c r="J41" s="1"/>
      <c r="K41" s="1"/>
      <c r="L41" s="1"/>
      <c r="M41" s="1"/>
      <c r="N41" s="1"/>
      <c r="O41" s="1"/>
      <c r="P41" s="1"/>
      <c r="Q41" s="1"/>
    </row>
    <row r="42" ht="14.25">
      <c r="A42" s="1"/>
      <c r="B42" s="1"/>
      <c r="C42" s="1"/>
      <c r="D42" s="1"/>
      <c r="E42" s="1"/>
      <c r="F42" s="1"/>
      <c r="G42" s="1"/>
      <c r="H42" s="1"/>
      <c r="I42" s="1"/>
      <c r="J42" s="1"/>
      <c r="K42" s="1"/>
      <c r="L42" s="1"/>
      <c r="M42" s="1"/>
      <c r="N42" s="1"/>
      <c r="O42" s="1"/>
      <c r="P42" s="1"/>
      <c r="Q42" s="1"/>
    </row>
    <row r="43" ht="14.25">
      <c r="A43" s="17"/>
      <c r="B43" s="1"/>
      <c r="C43" s="1"/>
      <c r="D43" s="1"/>
      <c r="E43" s="15"/>
      <c r="F43" s="1"/>
      <c r="G43" s="1"/>
      <c r="H43" s="1"/>
      <c r="I43" s="1"/>
      <c r="J43" s="1"/>
      <c r="K43" s="1"/>
      <c r="L43" s="1"/>
      <c r="M43" s="1"/>
      <c r="N43" s="1"/>
      <c r="O43" s="1"/>
      <c r="P43" s="1"/>
      <c r="Q43" s="1"/>
    </row>
    <row r="44" ht="14.25">
      <c r="A44" s="15"/>
      <c r="B44" s="1"/>
      <c r="C44" s="1"/>
      <c r="D44" s="1"/>
      <c r="E44" s="16"/>
      <c r="F44" s="1"/>
      <c r="G44" s="1"/>
      <c r="H44" s="1"/>
      <c r="I44" s="1"/>
      <c r="J44" s="1"/>
      <c r="K44" s="1"/>
      <c r="L44" s="1"/>
      <c r="M44" s="1"/>
      <c r="N44" s="1"/>
      <c r="O44" s="1"/>
      <c r="P44" s="1"/>
      <c r="Q44" s="1"/>
    </row>
    <row r="45" ht="14.25">
      <c r="A45" s="15"/>
      <c r="B45" s="1"/>
      <c r="C45" s="1"/>
      <c r="D45" s="1"/>
      <c r="E45" s="1"/>
      <c r="F45" s="1"/>
      <c r="G45" s="1"/>
      <c r="H45" s="1"/>
      <c r="I45" s="1"/>
      <c r="J45" s="1"/>
      <c r="K45" s="1"/>
      <c r="L45" s="1"/>
      <c r="M45" s="1"/>
      <c r="N45" s="1"/>
      <c r="O45" s="1"/>
      <c r="P45" s="1"/>
      <c r="Q45" s="1"/>
    </row>
    <row r="46" ht="14.25">
      <c r="A46" s="15"/>
      <c r="B46" s="1"/>
      <c r="C46" s="1"/>
      <c r="D46" s="1"/>
      <c r="E46" s="1"/>
      <c r="F46" s="1"/>
      <c r="G46" s="1"/>
      <c r="H46" s="1"/>
      <c r="I46" s="1"/>
      <c r="J46" s="1"/>
      <c r="K46" s="1"/>
      <c r="L46" s="1"/>
      <c r="M46" s="1"/>
      <c r="N46" s="1"/>
      <c r="O46" s="1"/>
      <c r="P46" s="1"/>
      <c r="Q46" s="1"/>
    </row>
    <row r="47" ht="14.25">
      <c r="A47" s="15"/>
      <c r="B47" s="1"/>
      <c r="C47" s="1"/>
      <c r="D47" s="1"/>
      <c r="E47" s="1"/>
      <c r="F47" s="1"/>
      <c r="G47" s="1"/>
      <c r="H47" s="1"/>
      <c r="I47" s="1"/>
      <c r="J47" s="1"/>
      <c r="K47" s="1"/>
      <c r="L47" s="1"/>
      <c r="M47" s="1"/>
      <c r="N47" s="1"/>
      <c r="O47" s="1"/>
      <c r="P47" s="1"/>
      <c r="Q47" s="1"/>
    </row>
    <row r="48" ht="14.25">
      <c r="A48" s="16"/>
      <c r="B48" s="1"/>
      <c r="C48" s="1"/>
      <c r="D48" s="1"/>
      <c r="E48" s="1"/>
      <c r="F48" s="1"/>
      <c r="G48" s="1"/>
      <c r="H48" s="1"/>
      <c r="I48" s="1"/>
      <c r="J48" s="1"/>
      <c r="K48" s="1"/>
      <c r="L48" s="1"/>
      <c r="M48" s="1"/>
      <c r="N48" s="1"/>
      <c r="O48" s="1"/>
      <c r="P48" s="1"/>
      <c r="Q48" s="1"/>
    </row>
    <row r="49" ht="14.25">
      <c r="A49" s="1"/>
      <c r="B49" s="1"/>
      <c r="C49" s="1"/>
      <c r="D49" s="1"/>
      <c r="E49" s="1"/>
      <c r="F49" s="1"/>
      <c r="G49" s="1"/>
      <c r="H49" s="1"/>
      <c r="I49" s="1"/>
      <c r="J49" s="1"/>
      <c r="K49" s="1"/>
      <c r="L49" s="1"/>
      <c r="M49" s="1"/>
      <c r="N49" s="1"/>
      <c r="O49" s="1"/>
      <c r="P49" s="1"/>
      <c r="Q49" s="1"/>
    </row>
    <row r="50" ht="14.25">
      <c r="A50" s="1"/>
      <c r="B50" s="1"/>
      <c r="C50" s="1"/>
      <c r="D50" s="1"/>
      <c r="E50" s="1"/>
      <c r="F50" s="1"/>
      <c r="G50" s="1"/>
      <c r="H50" s="1"/>
      <c r="I50" s="1"/>
      <c r="J50" s="1"/>
      <c r="K50" s="1"/>
      <c r="L50" s="1"/>
      <c r="M50" s="1"/>
      <c r="N50" s="1"/>
      <c r="O50" s="1"/>
      <c r="P50" s="1"/>
      <c r="Q50" s="1"/>
    </row>
    <row r="51" ht="14.25">
      <c r="A51" s="1"/>
      <c r="B51" s="1"/>
      <c r="C51" s="1"/>
      <c r="D51" s="1"/>
      <c r="E51" s="1"/>
      <c r="F51" s="1"/>
      <c r="G51" s="1"/>
      <c r="H51" s="1"/>
      <c r="I51" s="1"/>
      <c r="J51" s="1"/>
      <c r="K51" s="1"/>
      <c r="L51" s="1"/>
      <c r="M51" s="1"/>
      <c r="N51" s="1"/>
      <c r="O51" s="1"/>
      <c r="P51" s="1"/>
      <c r="Q51" s="1"/>
    </row>
    <row r="52" ht="14.25">
      <c r="A52" s="1"/>
      <c r="B52" s="1"/>
      <c r="C52" s="1"/>
      <c r="D52" s="1"/>
      <c r="E52" s="1"/>
      <c r="F52" s="1"/>
      <c r="G52" s="1"/>
      <c r="H52" s="1"/>
      <c r="I52" s="1"/>
      <c r="J52" s="1"/>
      <c r="K52" s="1"/>
      <c r="L52" s="1"/>
      <c r="M52" s="1"/>
      <c r="N52" s="1"/>
      <c r="O52" s="1"/>
      <c r="P52" s="1"/>
      <c r="Q52" s="1"/>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onlyoffice/7.3.3.0</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suarezmatias.coodesoft</cp:lastModifiedBy>
  <cp:revision>12</cp:revision>
  <dcterms:modified xsi:type="dcterms:W3CDTF">2025-11-04T16:32:48Z</dcterms:modified>
</cp:coreProperties>
</file>